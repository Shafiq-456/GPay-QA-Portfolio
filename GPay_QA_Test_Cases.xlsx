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afiq/Downloads/"/>
    </mc:Choice>
  </mc:AlternateContent>
  <xr:revisionPtr revIDLastSave="0" documentId="13_ncr:1_{3AC6C784-C9D0-1247-947B-AC64271F1DA0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Test Cases" sheetId="1" r:id="rId1"/>
    <sheet name="Bug Repor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B14" i="3"/>
  <c r="B13" i="3"/>
  <c r="B12" i="3"/>
  <c r="B11" i="3"/>
  <c r="B10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<sst xmlns="http://schemas.openxmlformats.org/spreadsheetml/2006/main" count="509" uniqueCount="254">
  <si>
    <t>Google Pay (GPay) – Manual QA Test Cases</t>
  </si>
  <si>
    <t>Tester: Mohammed Shafiq</t>
  </si>
  <si>
    <t>App: Google Pay (Android)</t>
  </si>
  <si>
    <t>Version: Latest (Fill during testing)</t>
  </si>
  <si>
    <t>Date: (Fill during testing)</t>
  </si>
  <si>
    <t>Platform: Android / iOS</t>
  </si>
  <si>
    <t>Environment: Production</t>
  </si>
  <si>
    <t>TC ID</t>
  </si>
  <si>
    <t>Module</t>
  </si>
  <si>
    <t>Test Case Title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</si>
  <si>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</si>
  <si>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</si>
  <si>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</si>
  <si>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</si>
  <si>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</si>
  <si>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</si>
  <si>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</si>
  <si>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Device</t>
  </si>
  <si>
    <t>Notes</t>
  </si>
  <si>
    <t>TC001</t>
  </si>
  <si>
    <t>App Launch</t>
  </si>
  <si>
    <t>App launches successfully on Android</t>
  </si>
  <si>
    <t>GPay installed; internet ON</t>
  </si>
  <si>
    <t>1. Tap GPay icon
2. Observe load time
3. Note if splash screen appears</t>
  </si>
  <si>
    <t>App launches within 3 seconds; home screen visible</t>
  </si>
  <si>
    <t>(fill during test)</t>
  </si>
  <si>
    <t>(Pass / Fail / Blocked / Skip)</t>
  </si>
  <si>
    <t>High</t>
  </si>
  <si>
    <t>Critical</t>
  </si>
  <si>
    <t>e.g. Samsung Galaxy S23</t>
  </si>
  <si>
    <t>TC002</t>
  </si>
  <si>
    <t>App launch with no internet connection</t>
  </si>
  <si>
    <t>GPay installed; WiFi &amp; data OFF</t>
  </si>
  <si>
    <t>1. Turn off internet
2. Launch GPay
3. Observe behaviour</t>
  </si>
  <si>
    <t>App shows 'No internet connection' message; does not crash</t>
  </si>
  <si>
    <t>Major</t>
  </si>
  <si>
    <t>TC003</t>
  </si>
  <si>
    <t>Login</t>
  </si>
  <si>
    <t>Login with registered mobile number</t>
  </si>
  <si>
    <t>Valid Google account linked; internet ON</t>
  </si>
  <si>
    <t>1. Open GPay
2. Enter registered mobile number
3. Enter OTP
4. Tap Verify</t>
  </si>
  <si>
    <t>User logged in successfully; home screen displayed</t>
  </si>
  <si>
    <t>TC004</t>
  </si>
  <si>
    <t>Login with unregistered mobile number</t>
  </si>
  <si>
    <t>Internet ON</t>
  </si>
  <si>
    <t>1. Open GPay
2. Enter unregistered number
3. Tap Continue</t>
  </si>
  <si>
    <t>App shows 'Number not registered' or prompts registration</t>
  </si>
  <si>
    <t>TC005</t>
  </si>
  <si>
    <t>Login with invalid OTP</t>
  </si>
  <si>
    <t>Valid registered number; internet ON</t>
  </si>
  <si>
    <t>1. Enter valid mobile number
2. Enter wrong OTP
3. Tap Verify</t>
  </si>
  <si>
    <t>Error message shown; login not allowed; retry option given</t>
  </si>
  <si>
    <t>TC006</t>
  </si>
  <si>
    <t>OTP expires after timeout</t>
  </si>
  <si>
    <t>1. Enter mobile number
2. Wait for OTP to expire (usually 10 min)
3. Enter expired OTP</t>
  </si>
  <si>
    <t>App shows 'OTP expired'; Resend OTP option shown</t>
  </si>
  <si>
    <t>Medium</t>
  </si>
  <si>
    <t>Minor</t>
  </si>
  <si>
    <t>TC007</t>
  </si>
  <si>
    <t>Send Money</t>
  </si>
  <si>
    <t>Send money via UPI ID</t>
  </si>
  <si>
    <t>Logged in; bank account linked; balance available</t>
  </si>
  <si>
    <t>1. Tap 'Send money'
2. Enter valid UPI ID
3. Enter amount (e.g., ₹1)
4. Add note
5. Tap Pay</t>
  </si>
  <si>
    <t>Transaction successful; confirmation screen shown; notification received</t>
  </si>
  <si>
    <t>TC008</t>
  </si>
  <si>
    <t>Send money via mobile number</t>
  </si>
  <si>
    <t>Logged in; recipient has GPay; balance available</t>
  </si>
  <si>
    <t>1. Tap 'New payment'
2. Enter recipient mobile number
3. Enter amount
4. Tap Pay</t>
  </si>
  <si>
    <t>Money sent; success screen shown; SMS notification sent</t>
  </si>
  <si>
    <t>TC009</t>
  </si>
  <si>
    <t>Send money with insufficient balance</t>
  </si>
  <si>
    <t>Logged in; bank balance less than send amount</t>
  </si>
  <si>
    <t>1. Tap 'Send money'
2. Enter UPI ID
3. Enter amount greater than balance
4. Tap Pay</t>
  </si>
  <si>
    <t>Transaction declined; 'Insufficient balance' error message shown</t>
  </si>
  <si>
    <t>TC010</t>
  </si>
  <si>
    <t>Send money with amount = ₹0</t>
  </si>
  <si>
    <t>Logged in; bank linked</t>
  </si>
  <si>
    <t>1. Tap 'Send money'
2. Enter valid UPI ID
3. Enter ₹0 as amount
4. Tap Pay</t>
  </si>
  <si>
    <t>App blocks transaction; shows 'Enter valid amount' message</t>
  </si>
  <si>
    <t>TC011</t>
  </si>
  <si>
    <t>Send money with amount exceeding UPI daily limit (₹1 lakh)</t>
  </si>
  <si>
    <t>Logged in; bank linked; balance &gt; ₹1 lakh</t>
  </si>
  <si>
    <t>1. Enter valid UPI ID
2. Enter ₹1,00,001
3. Tap Pay</t>
  </si>
  <si>
    <t>Transaction blocked; error message 'Daily limit exceeded' shown</t>
  </si>
  <si>
    <t>TC012</t>
  </si>
  <si>
    <t>Send money to invalid UPI ID</t>
  </si>
  <si>
    <t>1. Tap 'Send money'
2. Enter invalid/fake UPI ID
3. Tap Verify
4. Tap Pay</t>
  </si>
  <si>
    <t>App shows 'Invalid UPI ID' or 'UPI ID not found' error</t>
  </si>
  <si>
    <t>TC013</t>
  </si>
  <si>
    <t>Request Money</t>
  </si>
  <si>
    <t>Request money from a GPay contact</t>
  </si>
  <si>
    <t>Logged in; contact has GPay</t>
  </si>
  <si>
    <t>1. Tap 'Request money'
2. Select/enter contact
3. Enter amount
4. Add note
5. Tap Request</t>
  </si>
  <si>
    <t>Request sent; contact receives notification; pending shown in history</t>
  </si>
  <si>
    <t>TC014</t>
  </si>
  <si>
    <t>Bill Payments</t>
  </si>
  <si>
    <t>Pay electricity bill</t>
  </si>
  <si>
    <t>Logged in; valid electricity account number</t>
  </si>
  <si>
    <t>1. Tap 'Bill payments'
2. Select electricity provider
3. Enter account number
4. Verify bill amount
5. Pay</t>
  </si>
  <si>
    <t>Bill paid successfully; confirmation received; receipt shown</t>
  </si>
  <si>
    <t>TC015</t>
  </si>
  <si>
    <t>Pay bill with wrong account number</t>
  </si>
  <si>
    <t>Logged in</t>
  </si>
  <si>
    <t>1. Tap 'Bill payments'
2. Select electricity
3. Enter invalid account number
4. Tap Fetch Bill</t>
  </si>
  <si>
    <t>Error shown: 'Account not found' or 'Invalid account number'</t>
  </si>
  <si>
    <t>TC016</t>
  </si>
  <si>
    <t>Recharge</t>
  </si>
  <si>
    <t>Mobile recharge for own number</t>
  </si>
  <si>
    <t>1. Tap 'Mobile Recharge'
2. Enter own number
3. Select operator &amp; plan
4. Pay</t>
  </si>
  <si>
    <t>Recharge successful; confirmation SMS received</t>
  </si>
  <si>
    <t>TC017</t>
  </si>
  <si>
    <t>Mobile recharge for another number</t>
  </si>
  <si>
    <t>1. Tap 'Mobile Recharge'
2. Enter different mobile number
3. Select plan
4. Pay</t>
  </si>
  <si>
    <t>Recharge successful for entered number; confirmation shown</t>
  </si>
  <si>
    <t>TC018</t>
  </si>
  <si>
    <t>QR Code</t>
  </si>
  <si>
    <t>Pay using QR code scan</t>
  </si>
  <si>
    <t>Logged in; camera permission granted; valid GPay QR</t>
  </si>
  <si>
    <t>1. Tap 'Scan QR'
2. Point camera at QR code
3. Confirm merchant details
4. Enter amount
5. Pay</t>
  </si>
  <si>
    <t>QR scanned; merchant name shown; payment successful</t>
  </si>
  <si>
    <t>TC019</t>
  </si>
  <si>
    <t>Scan invalid/damaged QR code</t>
  </si>
  <si>
    <t>Logged in; camera permission granted</t>
  </si>
  <si>
    <t>1. Tap 'Scan QR'
2. Point at broken/damaged QR
3. Observe result</t>
  </si>
  <si>
    <t>App shows 'Invalid QR code' or 'Cannot read QR'; does not process payment</t>
  </si>
  <si>
    <t>TC020</t>
  </si>
  <si>
    <t>Transaction History</t>
  </si>
  <si>
    <t>View transaction history</t>
  </si>
  <si>
    <t>Logged in; at least one past transaction</t>
  </si>
  <si>
    <t>1. Tap profile/history icon
2. View transaction list
3. Tap on one transaction</t>
  </si>
  <si>
    <t>All transactions listed with date, amount, status; detail view opens on tap</t>
  </si>
  <si>
    <t>TC021</t>
  </si>
  <si>
    <t>Filter transactions by date range</t>
  </si>
  <si>
    <t>Logged in; multiple transactions across different dates</t>
  </si>
  <si>
    <t>1. Open transaction history
2. Tap filter
3. Select date range
4. Apply</t>
  </si>
  <si>
    <t>Only transactions within selected date range displayed</t>
  </si>
  <si>
    <t>Low</t>
  </si>
  <si>
    <t>TC022</t>
  </si>
  <si>
    <t>Bank Account</t>
  </si>
  <si>
    <t>Link a new bank account</t>
  </si>
  <si>
    <t>Logged in; valid bank account with registered mobile number</t>
  </si>
  <si>
    <t>1. Go to Settings &gt; Bank Accounts
2. Tap 'Add Bank Account'
3. Select bank
4. Verify</t>
  </si>
  <si>
    <t>Bank account linked successfully; appears in account list</t>
  </si>
  <si>
    <t>TC023</t>
  </si>
  <si>
    <t>Remove a linked bank account</t>
  </si>
  <si>
    <t>Logged in; at least one bank account linked</t>
  </si>
  <si>
    <t>1. Go to Settings &gt; Bank Accounts
2. Select account
3. Tap Remove
4. Confirm</t>
  </si>
  <si>
    <t>Bank account removed; no longer appears in list</t>
  </si>
  <si>
    <t>TC024</t>
  </si>
  <si>
    <t>UPI PIN</t>
  </si>
  <si>
    <t>Change UPI PIN</t>
  </si>
  <si>
    <t>Logged in; bank account linked</t>
  </si>
  <si>
    <t>1. Go to bank account settings
2. Tap 'Change UPI PIN'
3. Enter old PIN
4. Enter new PIN
5. Confirm</t>
  </si>
  <si>
    <t>UPI PIN changed successfully; confirmation shown</t>
  </si>
  <si>
    <t>TC025</t>
  </si>
  <si>
    <t>Enter wrong UPI PIN 3 times</t>
  </si>
  <si>
    <t>1. Initiate payment
2. Enter wrong UPI PIN 3 times consecutively</t>
  </si>
  <si>
    <t>Account locked temporarily; 'Too many attempts' message shown</t>
  </si>
  <si>
    <t>TC026</t>
  </si>
  <si>
    <t>Notifications</t>
  </si>
  <si>
    <t>Transaction success notification</t>
  </si>
  <si>
    <t>Logged in; notifications enabled</t>
  </si>
  <si>
    <t>1. Complete a successful payment
2. Lock screen or minimize app
3. Check notification</t>
  </si>
  <si>
    <t>Push notification received with amount and recipient details</t>
  </si>
  <si>
    <t>TC027</t>
  </si>
  <si>
    <t>Offers &amp; Rewards</t>
  </si>
  <si>
    <t>View available cashback offers</t>
  </si>
  <si>
    <t>1. Tap 'Offers' or 'Rewards'
2. Browse available offers</t>
  </si>
  <si>
    <t>Offers listed with valid expiry date, terms, and eligible transactions</t>
  </si>
  <si>
    <t>TC028</t>
  </si>
  <si>
    <t>App Security</t>
  </si>
  <si>
    <t>App locks after background timeout</t>
  </si>
  <si>
    <t>Logged in; screen lock enabled in GPay settings</t>
  </si>
  <si>
    <t>1. Open GPay
2. Minimize app
3. Wait 5 minutes
4. Re-open GPay</t>
  </si>
  <si>
    <t>App requires re-authentication (PIN/biometric) after timeout</t>
  </si>
  <si>
    <t>TC029</t>
  </si>
  <si>
    <t>Biometric login (fingerprint)</t>
  </si>
  <si>
    <t>Logged in; biometric enabled in settings</t>
  </si>
  <si>
    <t>1. Log out or lock app
2. Re-open GPay
3. Use fingerprint to authenticate</t>
  </si>
  <si>
    <t>Fingerprint accepted; app opens successfully</t>
  </si>
  <si>
    <t>TC030</t>
  </si>
  <si>
    <t>Biometric login with wrong fingerprint</t>
  </si>
  <si>
    <t>Logged in; biometric enabled</t>
  </si>
  <si>
    <t>1. Lock app
2. Re-open
3. Use unregistered fingerprint</t>
  </si>
  <si>
    <t>Authentication fails; fallback PIN option provided; app not opened</t>
  </si>
  <si>
    <t>TC031</t>
  </si>
  <si>
    <t>Network</t>
  </si>
  <si>
    <t>Payment attempt during network drop mid-transaction</t>
  </si>
  <si>
    <t>Logged in; bank linked; transaction in progress</t>
  </si>
  <si>
    <t>1. Start a payment
2. Turn off internet AFTER entering PIN but before confirmation</t>
  </si>
  <si>
    <t>App shows timeout/failure message; no duplicate deduction; balance unchanged</t>
  </si>
  <si>
    <t>TC032</t>
  </si>
  <si>
    <t>UI/UX</t>
  </si>
  <si>
    <t>App UI in landscape mode</t>
  </si>
  <si>
    <t>Logged in; screen rotation enabled</t>
  </si>
  <si>
    <t>1. Open GPay
2. Rotate phone to landscape
3. Navigate through screens</t>
  </si>
  <si>
    <t>UI adjusts correctly or locks to portrait; no overlapping/cut-off elements</t>
  </si>
  <si>
    <t>TC033</t>
  </si>
  <si>
    <t>Font size accessibility – large text</t>
  </si>
  <si>
    <t>Logged in; phone accessibility set to largest font</t>
  </si>
  <si>
    <t>1. Set phone font to largest in Settings
2. Open GPay
3. Navigate main screens</t>
  </si>
  <si>
    <t>Text remains readable; UI elements not broken or overlapping</t>
  </si>
  <si>
    <t>TC034</t>
  </si>
  <si>
    <t>Performance</t>
  </si>
  <si>
    <t>App response time on slow network (2G/3G)</t>
  </si>
  <si>
    <t>Logged in; network set to 2G or poor signal</t>
  </si>
  <si>
    <t>1. Set phone to 2G or throttle to slow network
2. Open GPay and navigate</t>
  </si>
  <si>
    <t>App remains functional with loading indicators; does not crash</t>
  </si>
  <si>
    <t>TC035</t>
  </si>
  <si>
    <t>App memory usage after 30 min session</t>
  </si>
  <si>
    <t>Logged in; phone developer options enabled</t>
  </si>
  <si>
    <t>1. Open GPay
2. Use various features for 30 minutes
3. Check RAM usage in developer options</t>
  </si>
  <si>
    <t>No excessive memory leak; RAM usage stays within reasonable range</t>
  </si>
  <si>
    <t>Google Pay – Bug Report Log</t>
  </si>
  <si>
    <t>Bug ID</t>
  </si>
  <si>
    <t>Date Found</t>
  </si>
  <si>
    <t>Bug Title</t>
  </si>
  <si>
    <t>Steps to Reproduce</t>
  </si>
  <si>
    <t>Screenshot/Video</t>
  </si>
  <si>
    <t>OS Version</t>
  </si>
  <si>
    <t>App Version</t>
  </si>
  <si>
    <t>Reported By</t>
  </si>
  <si>
    <t>BUG-001</t>
  </si>
  <si>
    <t>(Date)</t>
  </si>
  <si>
    <t>(Module)</t>
  </si>
  <si>
    <t>(Bug title here)</t>
  </si>
  <si>
    <t>(Step 1: ...
Step 2: ...
Step 3: ...)</t>
  </si>
  <si>
    <t>(What should happen)</t>
  </si>
  <si>
    <t>(What actually happened)</t>
  </si>
  <si>
    <t>(Critical/Major/Minor/Trivial)</t>
  </si>
  <si>
    <t>(High/Medium/Low)</t>
  </si>
  <si>
    <t>(New/Open/Fixed/Closed)</t>
  </si>
  <si>
    <t>(link or filename)</t>
  </si>
  <si>
    <t>(e.g., Android 14)</t>
  </si>
  <si>
    <t>(e.g., 245.0)</t>
  </si>
  <si>
    <t>(e.g., Redmi Note 12)</t>
  </si>
  <si>
    <t>Mohammed Shafiq</t>
  </si>
  <si>
    <t>BUG-002</t>
  </si>
  <si>
    <t>BUG-003</t>
  </si>
  <si>
    <t>BUG-004</t>
  </si>
  <si>
    <t>BUG-005</t>
  </si>
  <si>
    <t>GPay QA Testing – Summary Dashboard</t>
  </si>
  <si>
    <t>TOTAL TEST CASES</t>
  </si>
  <si>
    <t>Test Cases Passed</t>
  </si>
  <si>
    <t>Test Cases Failed</t>
  </si>
  <si>
    <t>Blocked</t>
  </si>
  <si>
    <t>Skipped</t>
  </si>
  <si>
    <t>Not Executed</t>
  </si>
  <si>
    <t>TOTAL BUGS FOUND</t>
  </si>
  <si>
    <t>Critical Bugs</t>
  </si>
  <si>
    <t>Major Bugs</t>
  </si>
  <si>
    <t>Minor Bugs</t>
  </si>
  <si>
    <t>Trivial Bugs</t>
  </si>
  <si>
    <t>Pass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</si>
</sst>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sz val="9"/>
      <color rgb="FF888888"/>
      <name val="Arial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7B241C"/>
      </patternFill>
    </fill>
    <fill>
      <patternFill patternType="solid">
        <fgColor rgb="FF922B21"/>
      </patternFill>
    </fill>
    <fill>
      <patternFill patternType="solid">
        <fgColor rgb="FFFDED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pane ySplit="4" topLeftCell="A5" activePane="bottomLeft" state="frozen"/>
      <selection pane="bottomLeft" sqref="A1:L1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30" customWidth="1"/>
    <col min="4" max="4" width="28" customWidth="1"/>
    <col min="5" max="5" width="48" customWidth="1"/>
    <col min="6" max="6" width="38" customWidth="1"/>
    <col min="7" max="7" width="28" customWidth="1"/>
    <col min="8" max="10" width="10" customWidth="1"/>
    <col min="11" max="11" width="14" customWidth="1"/>
    <col min="12" max="12" width="20" customWidth="1"/>
  </cols>
  <sheetData>
    <row r="1" spans="1:12" ht="36" customHeight="1" x14ac:dyDescent="0.2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0" customHeight="1" x14ac:dyDescent="0.2">
      <c r="A2" s="16" t="s">
        <v>1</v>
      </c>
      <c r="B2" s="14"/>
      <c r="C2" s="14"/>
      <c r="D2" s="14"/>
      <c r="E2" s="16" t="s">
        <v>2</v>
      </c>
      <c r="F2" s="14"/>
      <c r="G2" s="14"/>
      <c r="H2" s="14"/>
      <c r="I2" s="16" t="s">
        <v>3</v>
      </c>
      <c r="J2" s="14"/>
      <c r="K2" s="14"/>
      <c r="L2" s="14"/>
    </row>
    <row r="3" spans="1:12" ht="18" customHeight="1" x14ac:dyDescent="0.2">
      <c r="A3" s="13" t="s">
        <v>4</v>
      </c>
      <c r="B3" s="14"/>
      <c r="C3" s="14"/>
      <c r="D3" s="14"/>
      <c r="E3" s="13" t="s">
        <v>5</v>
      </c>
      <c r="F3" s="14"/>
      <c r="G3" s="14"/>
      <c r="H3" s="14"/>
      <c r="I3" s="13" t="s">
        <v>6</v>
      </c>
      <c r="J3" s="14"/>
      <c r="K3" s="14"/>
      <c r="L3" s="14"/>
    </row>
    <row r="4" spans="1:12" ht="28" customHeight="1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</row>
    <row r="5" spans="1:12" ht="72" customHeight="1" x14ac:dyDescent="0.2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/>
    </row>
    <row r="6" spans="1:12" ht="72" customHeight="1" x14ac:dyDescent="0.2">
      <c r="A6" s="3" t="s">
        <v>30</v>
      </c>
      <c r="B6" s="3" t="s">
        <v>20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25</v>
      </c>
      <c r="H6" s="3" t="s">
        <v>26</v>
      </c>
      <c r="I6" s="3" t="s">
        <v>27</v>
      </c>
      <c r="J6" s="3" t="s">
        <v>35</v>
      </c>
      <c r="K6" s="3" t="s">
        <v>29</v>
      </c>
      <c r="L6" s="3"/>
    </row>
    <row r="7" spans="1:12" ht="72" customHeight="1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L7" s="2"/>
    </row>
    <row r="8" spans="1:12" ht="72" customHeight="1" x14ac:dyDescent="0.2">
      <c r="A8" s="3" t="s">
        <v>42</v>
      </c>
      <c r="B8" s="3" t="s">
        <v>37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25</v>
      </c>
      <c r="H8" s="3" t="s">
        <v>26</v>
      </c>
      <c r="I8" s="3" t="s">
        <v>27</v>
      </c>
      <c r="J8" s="3" t="s">
        <v>35</v>
      </c>
      <c r="K8" s="3" t="s">
        <v>29</v>
      </c>
      <c r="L8" s="3"/>
    </row>
    <row r="9" spans="1:12" ht="72" customHeight="1" x14ac:dyDescent="0.2">
      <c r="A9" s="2" t="s">
        <v>47</v>
      </c>
      <c r="B9" s="2" t="s">
        <v>37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25</v>
      </c>
      <c r="H9" s="2" t="s">
        <v>26</v>
      </c>
      <c r="I9" s="2" t="s">
        <v>27</v>
      </c>
      <c r="J9" s="2" t="s">
        <v>35</v>
      </c>
      <c r="K9" s="2" t="s">
        <v>29</v>
      </c>
      <c r="L9" s="2"/>
    </row>
    <row r="10" spans="1:12" ht="72" customHeight="1" x14ac:dyDescent="0.2">
      <c r="A10" s="3" t="s">
        <v>52</v>
      </c>
      <c r="B10" s="3" t="s">
        <v>37</v>
      </c>
      <c r="C10" s="3" t="s">
        <v>53</v>
      </c>
      <c r="D10" s="3" t="s">
        <v>49</v>
      </c>
      <c r="E10" s="3" t="s">
        <v>54</v>
      </c>
      <c r="F10" s="3" t="s">
        <v>55</v>
      </c>
      <c r="G10" s="3" t="s">
        <v>25</v>
      </c>
      <c r="H10" s="3" t="s">
        <v>26</v>
      </c>
      <c r="I10" s="3" t="s">
        <v>56</v>
      </c>
      <c r="J10" s="3" t="s">
        <v>57</v>
      </c>
      <c r="K10" s="3" t="s">
        <v>29</v>
      </c>
      <c r="L10" s="3"/>
    </row>
    <row r="11" spans="1:12" ht="72" customHeight="1" x14ac:dyDescent="0.2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25</v>
      </c>
      <c r="H11" s="2" t="s">
        <v>26</v>
      </c>
      <c r="I11" s="2" t="s">
        <v>27</v>
      </c>
      <c r="J11" s="2" t="s">
        <v>28</v>
      </c>
      <c r="K11" s="2" t="s">
        <v>29</v>
      </c>
      <c r="L11" s="2"/>
    </row>
    <row r="12" spans="1:12" ht="72" customHeight="1" x14ac:dyDescent="0.2">
      <c r="A12" s="3" t="s">
        <v>64</v>
      </c>
      <c r="B12" s="3" t="s">
        <v>59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25</v>
      </c>
      <c r="H12" s="3" t="s">
        <v>26</v>
      </c>
      <c r="I12" s="3" t="s">
        <v>27</v>
      </c>
      <c r="J12" s="3" t="s">
        <v>28</v>
      </c>
      <c r="K12" s="3" t="s">
        <v>29</v>
      </c>
      <c r="L12" s="3"/>
    </row>
    <row r="13" spans="1:12" ht="72" customHeight="1" x14ac:dyDescent="0.2">
      <c r="A13" s="2" t="s">
        <v>69</v>
      </c>
      <c r="B13" s="2" t="s">
        <v>59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25</v>
      </c>
      <c r="H13" s="2" t="s">
        <v>26</v>
      </c>
      <c r="I13" s="2" t="s">
        <v>27</v>
      </c>
      <c r="J13" s="2" t="s">
        <v>35</v>
      </c>
      <c r="K13" s="2" t="s">
        <v>29</v>
      </c>
      <c r="L13" s="2"/>
    </row>
    <row r="14" spans="1:12" ht="72" customHeight="1" x14ac:dyDescent="0.2">
      <c r="A14" s="3" t="s">
        <v>74</v>
      </c>
      <c r="B14" s="3" t="s">
        <v>59</v>
      </c>
      <c r="C14" s="3" t="s">
        <v>75</v>
      </c>
      <c r="D14" s="3" t="s">
        <v>76</v>
      </c>
      <c r="E14" s="3" t="s">
        <v>77</v>
      </c>
      <c r="F14" s="3" t="s">
        <v>78</v>
      </c>
      <c r="G14" s="3" t="s">
        <v>25</v>
      </c>
      <c r="H14" s="3" t="s">
        <v>26</v>
      </c>
      <c r="I14" s="3" t="s">
        <v>56</v>
      </c>
      <c r="J14" s="3" t="s">
        <v>35</v>
      </c>
      <c r="K14" s="3" t="s">
        <v>29</v>
      </c>
      <c r="L14" s="3"/>
    </row>
    <row r="15" spans="1:12" ht="72" customHeight="1" x14ac:dyDescent="0.2">
      <c r="A15" s="2" t="s">
        <v>79</v>
      </c>
      <c r="B15" s="2" t="s">
        <v>59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25</v>
      </c>
      <c r="H15" s="2" t="s">
        <v>26</v>
      </c>
      <c r="I15" s="2" t="s">
        <v>27</v>
      </c>
      <c r="J15" s="2" t="s">
        <v>35</v>
      </c>
      <c r="K15" s="2" t="s">
        <v>29</v>
      </c>
      <c r="L15" s="2"/>
    </row>
    <row r="16" spans="1:12" ht="72" customHeight="1" x14ac:dyDescent="0.2">
      <c r="A16" s="3" t="s">
        <v>84</v>
      </c>
      <c r="B16" s="3" t="s">
        <v>59</v>
      </c>
      <c r="C16" s="3" t="s">
        <v>85</v>
      </c>
      <c r="D16" s="3" t="s">
        <v>76</v>
      </c>
      <c r="E16" s="3" t="s">
        <v>86</v>
      </c>
      <c r="F16" s="3" t="s">
        <v>87</v>
      </c>
      <c r="G16" s="3" t="s">
        <v>25</v>
      </c>
      <c r="H16" s="3" t="s">
        <v>26</v>
      </c>
      <c r="I16" s="3" t="s">
        <v>27</v>
      </c>
      <c r="J16" s="3" t="s">
        <v>28</v>
      </c>
      <c r="K16" s="3" t="s">
        <v>29</v>
      </c>
      <c r="L16" s="3"/>
    </row>
    <row r="17" spans="1:12" ht="72" customHeight="1" x14ac:dyDescent="0.2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93</v>
      </c>
      <c r="G17" s="2" t="s">
        <v>25</v>
      </c>
      <c r="H17" s="2" t="s">
        <v>26</v>
      </c>
      <c r="I17" s="2" t="s">
        <v>56</v>
      </c>
      <c r="J17" s="2" t="s">
        <v>35</v>
      </c>
      <c r="K17" s="2" t="s">
        <v>29</v>
      </c>
      <c r="L17" s="2"/>
    </row>
    <row r="18" spans="1:12" ht="72" customHeight="1" x14ac:dyDescent="0.2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98</v>
      </c>
      <c r="F18" s="3" t="s">
        <v>99</v>
      </c>
      <c r="G18" s="3" t="s">
        <v>25</v>
      </c>
      <c r="H18" s="3" t="s">
        <v>26</v>
      </c>
      <c r="I18" s="3" t="s">
        <v>27</v>
      </c>
      <c r="J18" s="3" t="s">
        <v>35</v>
      </c>
      <c r="K18" s="3" t="s">
        <v>29</v>
      </c>
      <c r="L18" s="3"/>
    </row>
    <row r="19" spans="1:12" ht="72" customHeight="1" x14ac:dyDescent="0.2">
      <c r="A19" s="2" t="s">
        <v>100</v>
      </c>
      <c r="B19" s="2" t="s">
        <v>95</v>
      </c>
      <c r="C19" s="2" t="s">
        <v>101</v>
      </c>
      <c r="D19" s="2" t="s">
        <v>102</v>
      </c>
      <c r="E19" s="2" t="s">
        <v>103</v>
      </c>
      <c r="F19" s="2" t="s">
        <v>104</v>
      </c>
      <c r="G19" s="2" t="s">
        <v>25</v>
      </c>
      <c r="H19" s="2" t="s">
        <v>26</v>
      </c>
      <c r="I19" s="2" t="s">
        <v>27</v>
      </c>
      <c r="J19" s="2" t="s">
        <v>35</v>
      </c>
      <c r="K19" s="2" t="s">
        <v>29</v>
      </c>
      <c r="L19" s="2"/>
    </row>
    <row r="20" spans="1:12" ht="72" customHeight="1" x14ac:dyDescent="0.2">
      <c r="A20" s="3" t="s">
        <v>105</v>
      </c>
      <c r="B20" s="3" t="s">
        <v>106</v>
      </c>
      <c r="C20" s="3" t="s">
        <v>107</v>
      </c>
      <c r="D20" s="3" t="s">
        <v>76</v>
      </c>
      <c r="E20" s="3" t="s">
        <v>108</v>
      </c>
      <c r="F20" s="3" t="s">
        <v>109</v>
      </c>
      <c r="G20" s="3" t="s">
        <v>25</v>
      </c>
      <c r="H20" s="3" t="s">
        <v>26</v>
      </c>
      <c r="I20" s="3" t="s">
        <v>27</v>
      </c>
      <c r="J20" s="3" t="s">
        <v>35</v>
      </c>
      <c r="K20" s="3" t="s">
        <v>29</v>
      </c>
      <c r="L20" s="3"/>
    </row>
    <row r="21" spans="1:12" ht="72" customHeight="1" x14ac:dyDescent="0.2">
      <c r="A21" s="2" t="s">
        <v>110</v>
      </c>
      <c r="B21" s="2" t="s">
        <v>106</v>
      </c>
      <c r="C21" s="2" t="s">
        <v>111</v>
      </c>
      <c r="D21" s="2" t="s">
        <v>76</v>
      </c>
      <c r="E21" s="2" t="s">
        <v>112</v>
      </c>
      <c r="F21" s="2" t="s">
        <v>113</v>
      </c>
      <c r="G21" s="2" t="s">
        <v>25</v>
      </c>
      <c r="H21" s="2" t="s">
        <v>26</v>
      </c>
      <c r="I21" s="2" t="s">
        <v>56</v>
      </c>
      <c r="J21" s="2" t="s">
        <v>35</v>
      </c>
      <c r="K21" s="2" t="s">
        <v>29</v>
      </c>
      <c r="L21" s="2"/>
    </row>
    <row r="22" spans="1:12" ht="72" customHeight="1" x14ac:dyDescent="0.2">
      <c r="A22" s="3" t="s">
        <v>114</v>
      </c>
      <c r="B22" s="3" t="s">
        <v>115</v>
      </c>
      <c r="C22" s="3" t="s">
        <v>116</v>
      </c>
      <c r="D22" s="3" t="s">
        <v>117</v>
      </c>
      <c r="E22" s="3" t="s">
        <v>118</v>
      </c>
      <c r="F22" s="3" t="s">
        <v>119</v>
      </c>
      <c r="G22" s="3" t="s">
        <v>25</v>
      </c>
      <c r="H22" s="3" t="s">
        <v>26</v>
      </c>
      <c r="I22" s="3" t="s">
        <v>27</v>
      </c>
      <c r="J22" s="3" t="s">
        <v>28</v>
      </c>
      <c r="K22" s="3" t="s">
        <v>29</v>
      </c>
      <c r="L22" s="3"/>
    </row>
    <row r="23" spans="1:12" ht="72" customHeight="1" x14ac:dyDescent="0.2">
      <c r="A23" s="2" t="s">
        <v>120</v>
      </c>
      <c r="B23" s="2" t="s">
        <v>115</v>
      </c>
      <c r="C23" s="2" t="s">
        <v>121</v>
      </c>
      <c r="D23" s="2" t="s">
        <v>122</v>
      </c>
      <c r="E23" s="2" t="s">
        <v>123</v>
      </c>
      <c r="F23" s="2" t="s">
        <v>124</v>
      </c>
      <c r="G23" s="2" t="s">
        <v>25</v>
      </c>
      <c r="H23" s="2" t="s">
        <v>26</v>
      </c>
      <c r="I23" s="2" t="s">
        <v>27</v>
      </c>
      <c r="J23" s="2" t="s">
        <v>35</v>
      </c>
      <c r="K23" s="2" t="s">
        <v>29</v>
      </c>
      <c r="L23" s="2"/>
    </row>
    <row r="24" spans="1:12" ht="72" customHeight="1" x14ac:dyDescent="0.2">
      <c r="A24" s="3" t="s">
        <v>125</v>
      </c>
      <c r="B24" s="3" t="s">
        <v>126</v>
      </c>
      <c r="C24" s="3" t="s">
        <v>127</v>
      </c>
      <c r="D24" s="3" t="s">
        <v>128</v>
      </c>
      <c r="E24" s="3" t="s">
        <v>129</v>
      </c>
      <c r="F24" s="3" t="s">
        <v>130</v>
      </c>
      <c r="G24" s="3" t="s">
        <v>25</v>
      </c>
      <c r="H24" s="3" t="s">
        <v>26</v>
      </c>
      <c r="I24" s="3" t="s">
        <v>56</v>
      </c>
      <c r="J24" s="3" t="s">
        <v>57</v>
      </c>
      <c r="K24" s="3" t="s">
        <v>29</v>
      </c>
      <c r="L24" s="3"/>
    </row>
    <row r="25" spans="1:12" ht="72" customHeight="1" x14ac:dyDescent="0.2">
      <c r="A25" s="2" t="s">
        <v>131</v>
      </c>
      <c r="B25" s="2" t="s">
        <v>126</v>
      </c>
      <c r="C25" s="2" t="s">
        <v>132</v>
      </c>
      <c r="D25" s="2" t="s">
        <v>133</v>
      </c>
      <c r="E25" s="2" t="s">
        <v>134</v>
      </c>
      <c r="F25" s="2" t="s">
        <v>135</v>
      </c>
      <c r="G25" s="2" t="s">
        <v>25</v>
      </c>
      <c r="H25" s="2" t="s">
        <v>26</v>
      </c>
      <c r="I25" s="2" t="s">
        <v>136</v>
      </c>
      <c r="J25" s="2" t="s">
        <v>57</v>
      </c>
      <c r="K25" s="2" t="s">
        <v>29</v>
      </c>
      <c r="L25" s="2"/>
    </row>
    <row r="26" spans="1:12" ht="72" customHeight="1" x14ac:dyDescent="0.2">
      <c r="A26" s="3" t="s">
        <v>137</v>
      </c>
      <c r="B26" s="3" t="s">
        <v>138</v>
      </c>
      <c r="C26" s="3" t="s">
        <v>139</v>
      </c>
      <c r="D26" s="3" t="s">
        <v>140</v>
      </c>
      <c r="E26" s="3" t="s">
        <v>141</v>
      </c>
      <c r="F26" s="3" t="s">
        <v>142</v>
      </c>
      <c r="G26" s="3" t="s">
        <v>25</v>
      </c>
      <c r="H26" s="3" t="s">
        <v>26</v>
      </c>
      <c r="I26" s="3" t="s">
        <v>27</v>
      </c>
      <c r="J26" s="3" t="s">
        <v>28</v>
      </c>
      <c r="K26" s="3" t="s">
        <v>29</v>
      </c>
      <c r="L26" s="3"/>
    </row>
    <row r="27" spans="1:12" ht="72" customHeight="1" x14ac:dyDescent="0.2">
      <c r="A27" s="2" t="s">
        <v>143</v>
      </c>
      <c r="B27" s="2" t="s">
        <v>138</v>
      </c>
      <c r="C27" s="2" t="s">
        <v>144</v>
      </c>
      <c r="D27" s="2" t="s">
        <v>145</v>
      </c>
      <c r="E27" s="2" t="s">
        <v>146</v>
      </c>
      <c r="F27" s="2" t="s">
        <v>147</v>
      </c>
      <c r="G27" s="2" t="s">
        <v>25</v>
      </c>
      <c r="H27" s="2" t="s">
        <v>26</v>
      </c>
      <c r="I27" s="2" t="s">
        <v>56</v>
      </c>
      <c r="J27" s="2" t="s">
        <v>35</v>
      </c>
      <c r="K27" s="2" t="s">
        <v>29</v>
      </c>
      <c r="L27" s="2"/>
    </row>
    <row r="28" spans="1:12" ht="72" customHeight="1" x14ac:dyDescent="0.2">
      <c r="A28" s="3" t="s">
        <v>148</v>
      </c>
      <c r="B28" s="3" t="s">
        <v>149</v>
      </c>
      <c r="C28" s="3" t="s">
        <v>150</v>
      </c>
      <c r="D28" s="3" t="s">
        <v>151</v>
      </c>
      <c r="E28" s="3" t="s">
        <v>152</v>
      </c>
      <c r="F28" s="3" t="s">
        <v>153</v>
      </c>
      <c r="G28" s="3" t="s">
        <v>25</v>
      </c>
      <c r="H28" s="3" t="s">
        <v>26</v>
      </c>
      <c r="I28" s="3" t="s">
        <v>27</v>
      </c>
      <c r="J28" s="3" t="s">
        <v>28</v>
      </c>
      <c r="K28" s="3" t="s">
        <v>29</v>
      </c>
      <c r="L28" s="3"/>
    </row>
    <row r="29" spans="1:12" ht="72" customHeight="1" x14ac:dyDescent="0.2">
      <c r="A29" s="2" t="s">
        <v>154</v>
      </c>
      <c r="B29" s="2" t="s">
        <v>149</v>
      </c>
      <c r="C29" s="2" t="s">
        <v>155</v>
      </c>
      <c r="D29" s="2" t="s">
        <v>151</v>
      </c>
      <c r="E29" s="2" t="s">
        <v>156</v>
      </c>
      <c r="F29" s="2" t="s">
        <v>157</v>
      </c>
      <c r="G29" s="2" t="s">
        <v>25</v>
      </c>
      <c r="H29" s="2" t="s">
        <v>26</v>
      </c>
      <c r="I29" s="2" t="s">
        <v>27</v>
      </c>
      <c r="J29" s="2" t="s">
        <v>28</v>
      </c>
      <c r="K29" s="2" t="s">
        <v>29</v>
      </c>
      <c r="L29" s="2"/>
    </row>
    <row r="30" spans="1:12" ht="72" customHeight="1" x14ac:dyDescent="0.2">
      <c r="A30" s="3" t="s">
        <v>158</v>
      </c>
      <c r="B30" s="3" t="s">
        <v>159</v>
      </c>
      <c r="C30" s="3" t="s">
        <v>160</v>
      </c>
      <c r="D30" s="3" t="s">
        <v>161</v>
      </c>
      <c r="E30" s="3" t="s">
        <v>162</v>
      </c>
      <c r="F30" s="3" t="s">
        <v>163</v>
      </c>
      <c r="G30" s="3" t="s">
        <v>25</v>
      </c>
      <c r="H30" s="3" t="s">
        <v>26</v>
      </c>
      <c r="I30" s="3" t="s">
        <v>56</v>
      </c>
      <c r="J30" s="3" t="s">
        <v>57</v>
      </c>
      <c r="K30" s="3" t="s">
        <v>29</v>
      </c>
      <c r="L30" s="3"/>
    </row>
    <row r="31" spans="1:12" ht="72" customHeight="1" x14ac:dyDescent="0.2">
      <c r="A31" s="2" t="s">
        <v>164</v>
      </c>
      <c r="B31" s="2" t="s">
        <v>165</v>
      </c>
      <c r="C31" s="2" t="s">
        <v>166</v>
      </c>
      <c r="D31" s="2" t="s">
        <v>102</v>
      </c>
      <c r="E31" s="2" t="s">
        <v>167</v>
      </c>
      <c r="F31" s="2" t="s">
        <v>168</v>
      </c>
      <c r="G31" s="2" t="s">
        <v>25</v>
      </c>
      <c r="H31" s="2" t="s">
        <v>26</v>
      </c>
      <c r="I31" s="2" t="s">
        <v>136</v>
      </c>
      <c r="J31" s="2" t="s">
        <v>57</v>
      </c>
      <c r="K31" s="2" t="s">
        <v>29</v>
      </c>
      <c r="L31" s="2"/>
    </row>
    <row r="32" spans="1:12" ht="72" customHeight="1" x14ac:dyDescent="0.2">
      <c r="A32" s="3" t="s">
        <v>169</v>
      </c>
      <c r="B32" s="3" t="s">
        <v>170</v>
      </c>
      <c r="C32" s="3" t="s">
        <v>171</v>
      </c>
      <c r="D32" s="3" t="s">
        <v>172</v>
      </c>
      <c r="E32" s="3" t="s">
        <v>173</v>
      </c>
      <c r="F32" s="3" t="s">
        <v>174</v>
      </c>
      <c r="G32" s="3" t="s">
        <v>25</v>
      </c>
      <c r="H32" s="3" t="s">
        <v>26</v>
      </c>
      <c r="I32" s="3" t="s">
        <v>27</v>
      </c>
      <c r="J32" s="3" t="s">
        <v>35</v>
      </c>
      <c r="K32" s="3" t="s">
        <v>29</v>
      </c>
      <c r="L32" s="3"/>
    </row>
    <row r="33" spans="1:12" ht="72" customHeight="1" x14ac:dyDescent="0.2">
      <c r="A33" s="2" t="s">
        <v>175</v>
      </c>
      <c r="B33" s="2" t="s">
        <v>170</v>
      </c>
      <c r="C33" s="2" t="s">
        <v>176</v>
      </c>
      <c r="D33" s="2" t="s">
        <v>177</v>
      </c>
      <c r="E33" s="2" t="s">
        <v>178</v>
      </c>
      <c r="F33" s="2" t="s">
        <v>179</v>
      </c>
      <c r="G33" s="2" t="s">
        <v>25</v>
      </c>
      <c r="H33" s="2" t="s">
        <v>26</v>
      </c>
      <c r="I33" s="2" t="s">
        <v>27</v>
      </c>
      <c r="J33" s="2" t="s">
        <v>35</v>
      </c>
      <c r="K33" s="2" t="s">
        <v>29</v>
      </c>
      <c r="L33" s="2"/>
    </row>
    <row r="34" spans="1:12" ht="72" customHeight="1" x14ac:dyDescent="0.2">
      <c r="A34" s="3" t="s">
        <v>180</v>
      </c>
      <c r="B34" s="3" t="s">
        <v>170</v>
      </c>
      <c r="C34" s="3" t="s">
        <v>181</v>
      </c>
      <c r="D34" s="3" t="s">
        <v>182</v>
      </c>
      <c r="E34" s="3" t="s">
        <v>183</v>
      </c>
      <c r="F34" s="3" t="s">
        <v>184</v>
      </c>
      <c r="G34" s="3" t="s">
        <v>25</v>
      </c>
      <c r="H34" s="3" t="s">
        <v>26</v>
      </c>
      <c r="I34" s="3" t="s">
        <v>27</v>
      </c>
      <c r="J34" s="3" t="s">
        <v>28</v>
      </c>
      <c r="K34" s="3" t="s">
        <v>29</v>
      </c>
      <c r="L34" s="3"/>
    </row>
    <row r="35" spans="1:12" ht="72" customHeight="1" x14ac:dyDescent="0.2">
      <c r="A35" s="2" t="s">
        <v>185</v>
      </c>
      <c r="B35" s="2" t="s">
        <v>186</v>
      </c>
      <c r="C35" s="2" t="s">
        <v>187</v>
      </c>
      <c r="D35" s="2" t="s">
        <v>188</v>
      </c>
      <c r="E35" s="2" t="s">
        <v>189</v>
      </c>
      <c r="F35" s="2" t="s">
        <v>190</v>
      </c>
      <c r="G35" s="2" t="s">
        <v>25</v>
      </c>
      <c r="H35" s="2" t="s">
        <v>26</v>
      </c>
      <c r="I35" s="2" t="s">
        <v>27</v>
      </c>
      <c r="J35" s="2" t="s">
        <v>28</v>
      </c>
      <c r="K35" s="2" t="s">
        <v>29</v>
      </c>
      <c r="L35" s="2"/>
    </row>
    <row r="36" spans="1:12" ht="72" customHeight="1" x14ac:dyDescent="0.2">
      <c r="A36" s="3" t="s">
        <v>191</v>
      </c>
      <c r="B36" s="3" t="s">
        <v>192</v>
      </c>
      <c r="C36" s="3" t="s">
        <v>193</v>
      </c>
      <c r="D36" s="3" t="s">
        <v>194</v>
      </c>
      <c r="E36" s="3" t="s">
        <v>195</v>
      </c>
      <c r="F36" s="3" t="s">
        <v>196</v>
      </c>
      <c r="G36" s="3" t="s">
        <v>25</v>
      </c>
      <c r="H36" s="3" t="s">
        <v>26</v>
      </c>
      <c r="I36" s="3" t="s">
        <v>136</v>
      </c>
      <c r="J36" s="3" t="s">
        <v>57</v>
      </c>
      <c r="K36" s="3" t="s">
        <v>29</v>
      </c>
      <c r="L36" s="3"/>
    </row>
    <row r="37" spans="1:12" ht="72" customHeight="1" x14ac:dyDescent="0.2">
      <c r="A37" s="2" t="s">
        <v>197</v>
      </c>
      <c r="B37" s="2" t="s">
        <v>192</v>
      </c>
      <c r="C37" s="2" t="s">
        <v>198</v>
      </c>
      <c r="D37" s="2" t="s">
        <v>199</v>
      </c>
      <c r="E37" s="2" t="s">
        <v>200</v>
      </c>
      <c r="F37" s="2" t="s">
        <v>201</v>
      </c>
      <c r="G37" s="2" t="s">
        <v>25</v>
      </c>
      <c r="H37" s="2" t="s">
        <v>26</v>
      </c>
      <c r="I37" s="2" t="s">
        <v>56</v>
      </c>
      <c r="J37" s="2" t="s">
        <v>57</v>
      </c>
      <c r="K37" s="2" t="s">
        <v>29</v>
      </c>
      <c r="L37" s="2"/>
    </row>
    <row r="38" spans="1:12" ht="72" customHeight="1" x14ac:dyDescent="0.2">
      <c r="A38" s="3" t="s">
        <v>202</v>
      </c>
      <c r="B38" s="3" t="s">
        <v>203</v>
      </c>
      <c r="C38" s="3" t="s">
        <v>204</v>
      </c>
      <c r="D38" s="3" t="s">
        <v>205</v>
      </c>
      <c r="E38" s="3" t="s">
        <v>206</v>
      </c>
      <c r="F38" s="3" t="s">
        <v>207</v>
      </c>
      <c r="G38" s="3" t="s">
        <v>25</v>
      </c>
      <c r="H38" s="3" t="s">
        <v>26</v>
      </c>
      <c r="I38" s="3" t="s">
        <v>56</v>
      </c>
      <c r="J38" s="3" t="s">
        <v>35</v>
      </c>
      <c r="K38" s="3" t="s">
        <v>29</v>
      </c>
      <c r="L38" s="3"/>
    </row>
    <row r="39" spans="1:12" ht="72" customHeight="1" x14ac:dyDescent="0.2">
      <c r="A39" s="2" t="s">
        <v>208</v>
      </c>
      <c r="B39" s="2" t="s">
        <v>203</v>
      </c>
      <c r="C39" s="2" t="s">
        <v>209</v>
      </c>
      <c r="D39" s="2" t="s">
        <v>210</v>
      </c>
      <c r="E39" s="2" t="s">
        <v>211</v>
      </c>
      <c r="F39" s="2" t="s">
        <v>212</v>
      </c>
      <c r="G39" s="2" t="s">
        <v>25</v>
      </c>
      <c r="H39" s="2" t="s">
        <v>26</v>
      </c>
      <c r="I39" s="2" t="s">
        <v>136</v>
      </c>
      <c r="J39" s="2" t="s">
        <v>57</v>
      </c>
      <c r="K39" s="2" t="s">
        <v>29</v>
      </c>
      <c r="L39" s="2"/>
    </row>
  </sheetData>
  <mergeCells count="7">
    <mergeCell ref="E3:H3"/>
    <mergeCell ref="I3:L3"/>
    <mergeCell ref="A3:D3"/>
    <mergeCell ref="A1:L1"/>
    <mergeCell ref="A2:D2"/>
    <mergeCell ref="I2:L2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3" customWidth="1"/>
    <col min="3" max="3" width="16" customWidth="1"/>
    <col min="4" max="4" width="32" customWidth="1"/>
    <col min="5" max="5" width="44" customWidth="1"/>
    <col min="6" max="7" width="32" customWidth="1"/>
    <col min="8" max="8" width="12" customWidth="1"/>
    <col min="9" max="9" width="10" customWidth="1"/>
    <col min="10" max="10" width="12" customWidth="1"/>
    <col min="11" max="11" width="22" customWidth="1"/>
    <col min="12" max="13" width="14" customWidth="1"/>
    <col min="14" max="14" width="20" customWidth="1"/>
    <col min="15" max="15" width="18" customWidth="1"/>
    <col min="16" max="16" width="20" customWidth="1"/>
  </cols>
  <sheetData>
    <row r="1" spans="1:16" ht="36" customHeight="1" x14ac:dyDescent="0.2">
      <c r="A1" s="17" t="s">
        <v>213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6" customHeight="1" x14ac:dyDescent="0.2">
      <c r="A2" s="4" t="s">
        <v>214</v>
      </c>
      <c r="B2" s="4" t="s">
        <v>215</v>
      </c>
      <c r="C2" s="4" t="s">
        <v>8</v>
      </c>
      <c r="D2" s="4" t="s">
        <v>216</v>
      </c>
      <c r="E2" s="4" t="s">
        <v>217</v>
      </c>
      <c r="F2" s="4" t="s">
        <v>12</v>
      </c>
      <c r="G2" s="4" t="s">
        <v>13</v>
      </c>
      <c r="H2" s="4" t="s">
        <v>16</v>
      </c>
      <c r="I2" s="4" t="s">
        <v>15</v>
      </c>
      <c r="J2" s="4" t="s">
        <v>14</v>
      </c>
      <c r="K2" s="4" t="s">
        <v>218</v>
      </c>
      <c r="L2" s="4" t="s">
        <v>219</v>
      </c>
      <c r="M2" s="4" t="s">
        <v>220</v>
      </c>
      <c r="N2" s="4" t="s">
        <v>17</v>
      </c>
      <c r="O2" s="4" t="s">
        <v>221</v>
      </c>
      <c r="P2" s="4" t="s">
        <v>18</v>
      </c>
    </row>
    <row r="3" spans="1:16" ht="72" customHeight="1" x14ac:dyDescent="0.2">
      <c r="A3" s="5" t="s">
        <v>222</v>
      </c>
      <c r="B3" s="5" t="s">
        <v>223</v>
      </c>
      <c r="C3" s="5" t="s">
        <v>224</v>
      </c>
      <c r="D3" s="5" t="s">
        <v>225</v>
      </c>
      <c r="E3" s="5" t="s">
        <v>226</v>
      </c>
      <c r="F3" s="5" t="s">
        <v>227</v>
      </c>
      <c r="G3" s="5" t="s">
        <v>228</v>
      </c>
      <c r="H3" s="5" t="s">
        <v>229</v>
      </c>
      <c r="I3" s="5" t="s">
        <v>230</v>
      </c>
      <c r="J3" s="5" t="s">
        <v>231</v>
      </c>
      <c r="K3" s="5" t="s">
        <v>232</v>
      </c>
      <c r="L3" s="5" t="s">
        <v>233</v>
      </c>
      <c r="M3" s="5" t="s">
        <v>234</v>
      </c>
      <c r="N3" s="5" t="s">
        <v>235</v>
      </c>
      <c r="O3" s="5" t="s">
        <v>236</v>
      </c>
      <c r="P3" s="5"/>
    </row>
    <row r="4" spans="1:16" ht="72" customHeight="1" x14ac:dyDescent="0.2">
      <c r="A4" s="6" t="s">
        <v>237</v>
      </c>
      <c r="B4" s="6" t="s">
        <v>223</v>
      </c>
      <c r="C4" s="6" t="s">
        <v>224</v>
      </c>
      <c r="D4" s="6" t="s">
        <v>225</v>
      </c>
      <c r="E4" s="6" t="s">
        <v>226</v>
      </c>
      <c r="F4" s="6" t="s">
        <v>227</v>
      </c>
      <c r="G4" s="6" t="s">
        <v>228</v>
      </c>
      <c r="H4" s="6" t="s">
        <v>229</v>
      </c>
      <c r="I4" s="6" t="s">
        <v>230</v>
      </c>
      <c r="J4" s="6" t="s">
        <v>231</v>
      </c>
      <c r="K4" s="6" t="s">
        <v>232</v>
      </c>
      <c r="L4" s="6" t="s">
        <v>233</v>
      </c>
      <c r="M4" s="6" t="s">
        <v>234</v>
      </c>
      <c r="N4" s="6" t="s">
        <v>235</v>
      </c>
      <c r="O4" s="6" t="s">
        <v>236</v>
      </c>
      <c r="P4" s="6"/>
    </row>
    <row r="5" spans="1:16" ht="72" customHeight="1" x14ac:dyDescent="0.2">
      <c r="A5" s="5" t="s">
        <v>238</v>
      </c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  <c r="G5" s="5" t="s">
        <v>228</v>
      </c>
      <c r="H5" s="5" t="s">
        <v>229</v>
      </c>
      <c r="I5" s="5" t="s">
        <v>230</v>
      </c>
      <c r="J5" s="5" t="s">
        <v>231</v>
      </c>
      <c r="K5" s="5" t="s">
        <v>232</v>
      </c>
      <c r="L5" s="5" t="s">
        <v>233</v>
      </c>
      <c r="M5" s="5" t="s">
        <v>234</v>
      </c>
      <c r="N5" s="5" t="s">
        <v>235</v>
      </c>
      <c r="O5" s="5" t="s">
        <v>236</v>
      </c>
      <c r="P5" s="5"/>
    </row>
    <row r="6" spans="1:16" ht="72" customHeight="1" x14ac:dyDescent="0.2">
      <c r="A6" s="6" t="s">
        <v>239</v>
      </c>
      <c r="B6" s="6" t="s">
        <v>223</v>
      </c>
      <c r="C6" s="6" t="s">
        <v>224</v>
      </c>
      <c r="D6" s="6" t="s">
        <v>225</v>
      </c>
      <c r="E6" s="6" t="s">
        <v>226</v>
      </c>
      <c r="F6" s="6" t="s">
        <v>227</v>
      </c>
      <c r="G6" s="6" t="s">
        <v>228</v>
      </c>
      <c r="H6" s="6" t="s">
        <v>229</v>
      </c>
      <c r="I6" s="6" t="s">
        <v>230</v>
      </c>
      <c r="J6" s="6" t="s">
        <v>231</v>
      </c>
      <c r="K6" s="6" t="s">
        <v>232</v>
      </c>
      <c r="L6" s="6" t="s">
        <v>233</v>
      </c>
      <c r="M6" s="6" t="s">
        <v>234</v>
      </c>
      <c r="N6" s="6" t="s">
        <v>235</v>
      </c>
      <c r="O6" s="6" t="s">
        <v>236</v>
      </c>
      <c r="P6" s="6"/>
    </row>
    <row r="7" spans="1:16" ht="72" customHeight="1" x14ac:dyDescent="0.2">
      <c r="A7" s="5" t="s">
        <v>240</v>
      </c>
      <c r="B7" s="5" t="s">
        <v>223</v>
      </c>
      <c r="C7" s="5" t="s">
        <v>224</v>
      </c>
      <c r="D7" s="5" t="s">
        <v>225</v>
      </c>
      <c r="E7" s="5" t="s">
        <v>226</v>
      </c>
      <c r="F7" s="5" t="s">
        <v>227</v>
      </c>
      <c r="G7" s="5" t="s">
        <v>228</v>
      </c>
      <c r="H7" s="5" t="s">
        <v>229</v>
      </c>
      <c r="I7" s="5" t="s">
        <v>230</v>
      </c>
      <c r="J7" s="5" t="s">
        <v>231</v>
      </c>
      <c r="K7" s="5" t="s">
        <v>232</v>
      </c>
      <c r="L7" s="5" t="s">
        <v>233</v>
      </c>
      <c r="M7" s="5" t="s">
        <v>234</v>
      </c>
      <c r="N7" s="5" t="s">
        <v>235</v>
      </c>
      <c r="O7" s="5" t="s">
        <v>236</v>
      </c>
      <c r="P7" s="5"/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</cols>
  <sheetData>
    <row r="1" spans="1:6" ht="34" customHeight="1" x14ac:dyDescent="0.2">
      <c r="A1" s="15" t="s">
        <v>241</v>
      </c>
      <c r="B1" s="14"/>
      <c r="C1" s="14"/>
      <c r="D1" s="14"/>
      <c r="E1" s="14"/>
      <c r="F1" s="14"/>
    </row>
    <row r="2" spans="1:6" ht="22" customHeight="1" x14ac:dyDescent="0.2">
      <c r="A2" s="7"/>
      <c r="B2" s="7"/>
    </row>
    <row r="3" spans="1:6" ht="22" customHeight="1" x14ac:dyDescent="0.2">
      <c r="A3" s="18" t="s">
        <v>242</v>
      </c>
      <c r="B3" s="8">
        <v>35</v>
      </c>
    </row>
    <row r="4" spans="1:6" ht="22" customHeight="1" x14ac:dyDescent="0.2">
      <c r="A4" s="9" t="s">
        <v>243</v>
      </c>
      <c r="B4" s="10">
        <f>COUNTIF('Test Cases'!H5:H39,"Pass")</f>
        <v>0</v>
      </c>
    </row>
    <row r="5" spans="1:6" ht="22" customHeight="1" x14ac:dyDescent="0.2">
      <c r="A5" s="9" t="s">
        <v>244</v>
      </c>
      <c r="B5" s="10">
        <f>COUNTIF('Test Cases'!H5:H39,"Fail")</f>
        <v>0</v>
      </c>
    </row>
    <row r="6" spans="1:6" ht="22" customHeight="1" x14ac:dyDescent="0.2">
      <c r="A6" s="9" t="s">
        <v>245</v>
      </c>
      <c r="B6" s="10">
        <f>COUNTIF('Test Cases'!H5:H39,"Blocked")</f>
        <v>0</v>
      </c>
    </row>
    <row r="7" spans="1:6" ht="22" customHeight="1" x14ac:dyDescent="0.2">
      <c r="A7" s="9" t="s">
        <v>246</v>
      </c>
      <c r="B7" s="10">
        <f>COUNTIF('Test Cases'!H5:H39,"Skip")</f>
        <v>0</v>
      </c>
    </row>
    <row r="8" spans="1:6" ht="22" customHeight="1" x14ac:dyDescent="0.2">
      <c r="A8" s="9" t="s">
        <v>247</v>
      </c>
      <c r="B8" s="10">
        <f>COUNTIF('Test Cases'!H5:H39,"(Pass / Fail / Blocked / Skip)")</f>
        <v>35</v>
      </c>
    </row>
    <row r="9" spans="1:6" ht="22" customHeight="1" x14ac:dyDescent="0.2">
      <c r="A9" s="7"/>
      <c r="B9" s="7"/>
    </row>
    <row r="10" spans="1:6" ht="22" customHeight="1" x14ac:dyDescent="0.2">
      <c r="A10" s="11" t="s">
        <v>248</v>
      </c>
      <c r="B10" s="11">
        <f>COUNTA('Bug Report'!A3:A100)-COUNTBLANK('Bug Report'!A3:A100)</f>
        <v>-88</v>
      </c>
    </row>
    <row r="11" spans="1:6" ht="22" customHeight="1" x14ac:dyDescent="0.2">
      <c r="A11" s="9" t="s">
        <v>249</v>
      </c>
      <c r="B11" s="10">
        <f>COUNTIF('Bug Report'!H3:H100,"Critical")</f>
        <v>0</v>
      </c>
    </row>
    <row r="12" spans="1:6" ht="22" customHeight="1" x14ac:dyDescent="0.2">
      <c r="A12" s="9" t="s">
        <v>250</v>
      </c>
      <c r="B12" s="10">
        <f>COUNTIF('Bug Report'!H3:H100,"Major")</f>
        <v>0</v>
      </c>
    </row>
    <row r="13" spans="1:6" ht="22" customHeight="1" x14ac:dyDescent="0.2">
      <c r="A13" s="9" t="s">
        <v>251</v>
      </c>
      <c r="B13" s="10">
        <f>COUNTIF('Bug Report'!H3:H100,"Minor")</f>
        <v>0</v>
      </c>
    </row>
    <row r="14" spans="1:6" ht="22" customHeight="1" x14ac:dyDescent="0.2">
      <c r="A14" s="9" t="s">
        <v>252</v>
      </c>
      <c r="B14" s="10">
        <f>COUNTIF('Bug Report'!H3:H100,"Trivial")</f>
        <v>0</v>
      </c>
    </row>
    <row r="15" spans="1:6" ht="22" customHeight="1" x14ac:dyDescent="0.2">
      <c r="A15" s="7"/>
      <c r="B15" s="7"/>
    </row>
    <row r="16" spans="1:6" ht="22" customHeight="1" x14ac:dyDescent="0.2">
      <c r="A16" s="12" t="s">
        <v>253</v>
      </c>
      <c r="B16" s="12">
        <f>IFERROR(COUNTIF('Test Cases'!H5:H39,"Pass")/35*100,0)</f>
        <v>0</v>
      </c>
    </row>
  </sheetData>
  <mergeCells count="2">
    <mergeCell ref="A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Shafiq</cp:lastModifiedBy>
  <dcterms:created xsi:type="dcterms:W3CDTF">2026-04-03T05:38:47Z</dcterms:created>
  <dcterms:modified xsi:type="dcterms:W3CDTF">2026-04-03T05:45:10Z</dcterms:modified>
</cp:coreProperties>
</file>