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shafiq/Downloads/"/>
    </mc:Choice>
  </mc:AlternateContent>
  <xr:revisionPtr revIDLastSave="0" documentId="13_ncr:1_{CE6BFE62-A573-344F-B542-24A325CA7F3C}" xr6:coauthVersionLast="47" xr6:coauthVersionMax="47" xr10:uidLastSave="{00000000-0000-0000-0000-000000000000}"/>
  <bookViews>
    <workbookView xWindow="0" yWindow="660" windowWidth="29400" windowHeight="18460" xr2:uid="{00000000-000D-0000-FFFF-FFFF00000000}"/>
  </bookViews>
  <sheets>
    <sheet name="Test Cases" sheetId="1" r:id="rId1"/>
    <sheet name="Bug Report" sheetId="2" r:id="rId2"/>
    <sheet name="Summary"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3" l="1"/>
  <c r="B13" i="3"/>
  <c r="B12" i="3"/>
  <c r="B11" i="3"/>
  <c r="B8" i="3"/>
  <c r="B7" i="3"/>
  <c r="B6" i="3"/>
  <c r="B5" i="3"/>
</calcChain>
</file>

<file path=xl/sharedStrings.xml><?xml version="1.0" encoding="utf-8"?>
<sst xmlns="http://schemas.openxmlformats.org/spreadsheetml/2006/main" count="536" uniqueCount="339">
  <si>
    <t>Google Pay (GPay) – Manual QA Test Cases</t>
  </si>
  <si>
    <t>Tester: Mohammed Shafiq</t>
  </si>
  <si>
    <t>App: Google Pay (Android)</t>
  </si>
  <si>
    <t>Version: Latest (Fill during testing)</t>
  </si>
  <si>
    <t>Date: (Fill during testing)</t>
  </si>
  <si>
    <t>Platform: Android / iOS</t>
  </si>
  <si>
    <t>Environment: Production</t>
  </si>
  <si>
    <t>TC ID</t>
  </si>
  <si>
    <t>Module</t>
  </si>
  <si>
    <t>Test Case Title</t>
  </si>
  <si>
    <t>Preconditions</t>
  </si>
  <si>
    <t>Test Steps</t>
  </si>
  <si>
    <t>Expected Result</t>
  </si>
  <si>
    <t>Actual Result</t>
  </si>
  <si>
    <t>Status</t>
  </si>
  <si>
    <t>Priority</t>
  </si>
  <si>
    <t>Severity</t>
  </si>
  <si>
    <t>Device</t>
  </si>
  <si>
    <t>Notes</t>
  </si>
  <si>
    <t>TC001</t>
  </si>
  <si>
    <t>App Launch</t>
  </si>
  <si>
    <t>App launches successfully on Android</t>
  </si>
  <si>
    <t>GPay installed; internet ON</t>
  </si>
  <si>
    <t>1. Tap GPay icon
2. Observe load time
3. Note if splash screen appears</t>
  </si>
  <si>
    <t>App launches within 3 seconds; home screen visible</t>
  </si>
  <si>
    <t>High</t>
  </si>
  <si>
    <t>Critical</t>
  </si>
  <si>
    <t>TC002</t>
  </si>
  <si>
    <t>App launch with no internet connection</t>
  </si>
  <si>
    <t>GPay installed; WiFi &amp; data OFF</t>
  </si>
  <si>
    <t>1. Turn off internet
2. Launch GPay
3. Observe behaviour</t>
  </si>
  <si>
    <t>App shows 'No internet connection' message; does not crash</t>
  </si>
  <si>
    <t>Major</t>
  </si>
  <si>
    <t>TC003</t>
  </si>
  <si>
    <t>Login</t>
  </si>
  <si>
    <t>Login with registered mobile number</t>
  </si>
  <si>
    <t>Valid Google account linked; internet ON</t>
  </si>
  <si>
    <t>1. Open GPay
2. Enter registered mobile number
3. Enter OTP
4. Tap Verify</t>
  </si>
  <si>
    <t>User logged in successfully; home screen displayed</t>
  </si>
  <si>
    <t>TC004</t>
  </si>
  <si>
    <t>Login with unregistered mobile number</t>
  </si>
  <si>
    <t>Internet ON</t>
  </si>
  <si>
    <t>1. Open GPay
2. Enter unregistered number
3. Tap Continue</t>
  </si>
  <si>
    <t>App shows 'Number not registered' or prompts registration</t>
  </si>
  <si>
    <t>TC005</t>
  </si>
  <si>
    <t>Login with invalid OTP</t>
  </si>
  <si>
    <t>Valid registered number; internet ON</t>
  </si>
  <si>
    <t>1. Enter valid mobile number
2. Enter wrong OTP
3. Tap Verify</t>
  </si>
  <si>
    <t>Error message shown; login not allowed; retry option given</t>
  </si>
  <si>
    <t>TC006</t>
  </si>
  <si>
    <t>OTP expires after timeout</t>
  </si>
  <si>
    <t>1. Enter mobile number
2. Wait for OTP to expire (usually 10 min)
3. Enter expired OTP</t>
  </si>
  <si>
    <t>App shows 'OTP expired'; Resend OTP option shown</t>
  </si>
  <si>
    <t>Medium</t>
  </si>
  <si>
    <t>Minor</t>
  </si>
  <si>
    <t>TC007</t>
  </si>
  <si>
    <t>Send Money</t>
  </si>
  <si>
    <t>Send money via UPI ID</t>
  </si>
  <si>
    <t>Logged in; bank account linked; balance available</t>
  </si>
  <si>
    <t>1. Tap 'Send money'
2. Enter valid UPI ID
3. Enter amount (e.g., ₹1)
4. Add note
5. Tap Pay</t>
  </si>
  <si>
    <t>Transaction successful; confirmation screen shown; notification received</t>
  </si>
  <si>
    <t>TC008</t>
  </si>
  <si>
    <t>Send money via mobile number</t>
  </si>
  <si>
    <t>Logged in; recipient has GPay; balance available</t>
  </si>
  <si>
    <t>1. Tap 'New payment'
2. Enter recipient mobile number
3. Enter amount
4. Tap Pay</t>
  </si>
  <si>
    <t>Money sent; success screen shown; SMS notification sent</t>
  </si>
  <si>
    <t>TC009</t>
  </si>
  <si>
    <t>Send money with insufficient balance</t>
  </si>
  <si>
    <t>Logged in; bank balance less than send amount</t>
  </si>
  <si>
    <t>1. Tap 'Send money'
2. Enter UPI ID
3. Enter amount greater than balance
4. Tap Pay</t>
  </si>
  <si>
    <t>Transaction declined; 'Insufficient balance' error message shown</t>
  </si>
  <si>
    <t>TC010</t>
  </si>
  <si>
    <t>Send money with amount = ₹0</t>
  </si>
  <si>
    <t>Logged in; bank linked</t>
  </si>
  <si>
    <t>1. Tap 'Send money'
2. Enter valid UPI ID
3. Enter ₹0 as amount
4. Tap Pay</t>
  </si>
  <si>
    <t>App blocks transaction; shows 'Enter valid amount' message</t>
  </si>
  <si>
    <t>TC011</t>
  </si>
  <si>
    <t>Send money with amount exceeding UPI daily limit (₹1 lakh)</t>
  </si>
  <si>
    <t>Logged in; bank linked; balance &gt; ₹1 lakh</t>
  </si>
  <si>
    <t>1. Enter valid UPI ID
2. Enter ₹1,00,001
3. Tap Pay</t>
  </si>
  <si>
    <t>Transaction blocked; error message 'Daily limit exceeded' shown</t>
  </si>
  <si>
    <t>TC012</t>
  </si>
  <si>
    <t>Send money to invalid UPI ID</t>
  </si>
  <si>
    <t>1. Tap 'Send money'
2. Enter invalid/fake UPI ID
3. Tap Verify
4. Tap Pay</t>
  </si>
  <si>
    <t>App shows 'Invalid UPI ID' or 'UPI ID not found' error</t>
  </si>
  <si>
    <t>TC013</t>
  </si>
  <si>
    <t>Request Money</t>
  </si>
  <si>
    <t>Request money from a GPay contact</t>
  </si>
  <si>
    <t>Logged in; contact has GPay</t>
  </si>
  <si>
    <t>1. Tap 'Request money'
2. Select/enter contact
3. Enter amount
4. Add note
5. Tap Request</t>
  </si>
  <si>
    <t>Request sent; contact receives notification; pending shown in history</t>
  </si>
  <si>
    <t>TC014</t>
  </si>
  <si>
    <t>Bill Payments</t>
  </si>
  <si>
    <t>Pay electricity bill</t>
  </si>
  <si>
    <t>Logged in; valid electricity account number</t>
  </si>
  <si>
    <t>1. Tap 'Bill payments'
2. Select electricity provider
3. Enter account number
4. Verify bill amount
5. Pay</t>
  </si>
  <si>
    <t>Bill paid successfully; confirmation received; receipt shown</t>
  </si>
  <si>
    <t>TC015</t>
  </si>
  <si>
    <t>Pay bill with wrong account number</t>
  </si>
  <si>
    <t>Logged in</t>
  </si>
  <si>
    <t>1. Tap 'Bill payments'
2. Select electricity
3. Enter invalid account number
4. Tap Fetch Bill</t>
  </si>
  <si>
    <t>Error shown: 'Account not found' or 'Invalid account number'</t>
  </si>
  <si>
    <t>TC016</t>
  </si>
  <si>
    <t>Recharge</t>
  </si>
  <si>
    <t>Mobile recharge for own number</t>
  </si>
  <si>
    <t>1. Tap 'Mobile Recharge'
2. Enter own number
3. Select operator &amp; plan
4. Pay</t>
  </si>
  <si>
    <t>Recharge successful; confirmation SMS received</t>
  </si>
  <si>
    <t>TC017</t>
  </si>
  <si>
    <t>Mobile recharge for another number</t>
  </si>
  <si>
    <t>1. Tap 'Mobile Recharge'
2. Enter different mobile number
3. Select plan
4. Pay</t>
  </si>
  <si>
    <t>Recharge successful for entered number; confirmation shown</t>
  </si>
  <si>
    <t>TC018</t>
  </si>
  <si>
    <t>QR Code</t>
  </si>
  <si>
    <t>Pay using QR code scan</t>
  </si>
  <si>
    <t>Logged in; camera permission granted; valid GPay QR</t>
  </si>
  <si>
    <t>1. Tap 'Scan QR'
2. Point camera at QR code
3. Confirm merchant details
4. Enter amount
5. Pay</t>
  </si>
  <si>
    <t>QR scanned; merchant name shown; payment successful</t>
  </si>
  <si>
    <t>TC019</t>
  </si>
  <si>
    <t>Scan invalid/damaged QR code</t>
  </si>
  <si>
    <t>Logged in; camera permission granted</t>
  </si>
  <si>
    <t>1. Tap 'Scan QR'
2. Point at broken/damaged QR
3. Observe result</t>
  </si>
  <si>
    <t>App shows 'Invalid QR code' or 'Cannot read QR'; does not process payment</t>
  </si>
  <si>
    <t>TC020</t>
  </si>
  <si>
    <t>Transaction History</t>
  </si>
  <si>
    <t>View transaction history</t>
  </si>
  <si>
    <t>Logged in; at least one past transaction</t>
  </si>
  <si>
    <t>1. Tap profile/history icon
2. View transaction list
3. Tap on one transaction</t>
  </si>
  <si>
    <t>All transactions listed with date, amount, status; detail view opens on tap</t>
  </si>
  <si>
    <t>TC021</t>
  </si>
  <si>
    <t>Filter transactions by date range</t>
  </si>
  <si>
    <t>Logged in; multiple transactions across different dates</t>
  </si>
  <si>
    <t>1. Open transaction history
2. Tap filter
3. Select date range
4. Apply</t>
  </si>
  <si>
    <t>Only transactions within selected date range displayed</t>
  </si>
  <si>
    <t>Low</t>
  </si>
  <si>
    <t>TC022</t>
  </si>
  <si>
    <t>Bank Account</t>
  </si>
  <si>
    <t>Link a new bank account</t>
  </si>
  <si>
    <t>Logged in; valid bank account with registered mobile number</t>
  </si>
  <si>
    <t>1. Go to Settings &gt; Bank Accounts
2. Tap 'Add Bank Account'
3. Select bank
4. Verify</t>
  </si>
  <si>
    <t>Bank account linked successfully; appears in account list</t>
  </si>
  <si>
    <t>TC023</t>
  </si>
  <si>
    <t>Remove a linked bank account</t>
  </si>
  <si>
    <t>Logged in; at least one bank account linked</t>
  </si>
  <si>
    <t>1. Go to Settings &gt; Bank Accounts
2. Select account
3. Tap Remove
4. Confirm</t>
  </si>
  <si>
    <t>Bank account removed; no longer appears in list</t>
  </si>
  <si>
    <t>TC024</t>
  </si>
  <si>
    <t>UPI PIN</t>
  </si>
  <si>
    <t>Change UPI PIN</t>
  </si>
  <si>
    <t>Logged in; bank account linked</t>
  </si>
  <si>
    <t>1. Go to bank account settings
2. Tap 'Change UPI PIN'
3. Enter old PIN
4. Enter new PIN
5. Confirm</t>
  </si>
  <si>
    <t>UPI PIN changed successfully; confirmation shown</t>
  </si>
  <si>
    <t>TC025</t>
  </si>
  <si>
    <t>Enter wrong UPI PIN 3 times</t>
  </si>
  <si>
    <t>1. Initiate payment
2. Enter wrong UPI PIN 3 times consecutively</t>
  </si>
  <si>
    <t>Account locked temporarily; 'Too many attempts' message shown</t>
  </si>
  <si>
    <t>TC026</t>
  </si>
  <si>
    <t>Notifications</t>
  </si>
  <si>
    <t>Transaction success notification</t>
  </si>
  <si>
    <t>Logged in; notifications enabled</t>
  </si>
  <si>
    <t>1. Complete a successful payment
2. Lock screen or minimize app
3. Check notification</t>
  </si>
  <si>
    <t>Push notification received with amount and recipient details</t>
  </si>
  <si>
    <t>TC027</t>
  </si>
  <si>
    <t>Offers &amp; Rewards</t>
  </si>
  <si>
    <t>View available cashback offers</t>
  </si>
  <si>
    <t>1. Tap 'Offers' or 'Rewards'
2. Browse available offers</t>
  </si>
  <si>
    <t>Offers listed with valid expiry date, terms, and eligible transactions</t>
  </si>
  <si>
    <t>TC028</t>
  </si>
  <si>
    <t>App Security</t>
  </si>
  <si>
    <t>App locks after background timeout</t>
  </si>
  <si>
    <t>Logged in; screen lock enabled in GPay settings</t>
  </si>
  <si>
    <t>1. Open GPay
2. Minimize app
3. Wait 5 minutes
4. Re-open GPay</t>
  </si>
  <si>
    <t>App requires re-authentication (PIN/biometric) after timeout</t>
  </si>
  <si>
    <t>TC029</t>
  </si>
  <si>
    <t>Biometric login (fingerprint)</t>
  </si>
  <si>
    <t>Logged in; biometric enabled in settings</t>
  </si>
  <si>
    <t>1. Log out or lock app
2. Re-open GPay
3. Use fingerprint to authenticate</t>
  </si>
  <si>
    <t>Fingerprint accepted; app opens successfully</t>
  </si>
  <si>
    <t>TC030</t>
  </si>
  <si>
    <t>Biometric login with wrong fingerprint</t>
  </si>
  <si>
    <t>Logged in; biometric enabled</t>
  </si>
  <si>
    <t>1. Lock app
2. Re-open
3. Use unregistered fingerprint</t>
  </si>
  <si>
    <t>Authentication fails; fallback PIN option provided; app not opened</t>
  </si>
  <si>
    <t>TC031</t>
  </si>
  <si>
    <t>Network</t>
  </si>
  <si>
    <t>Payment attempt during network drop mid-transaction</t>
  </si>
  <si>
    <t>Logged in; bank linked; transaction in progress</t>
  </si>
  <si>
    <t>1. Start a payment
2. Turn off internet AFTER entering PIN but before confirmation</t>
  </si>
  <si>
    <t>App shows timeout/failure message; no duplicate deduction; balance unchanged</t>
  </si>
  <si>
    <t>TC032</t>
  </si>
  <si>
    <t>UI/UX</t>
  </si>
  <si>
    <t>App UI in landscape mode</t>
  </si>
  <si>
    <t>Logged in; screen rotation enabled</t>
  </si>
  <si>
    <t>1. Open GPay
2. Rotate phone to landscape
3. Navigate through screens</t>
  </si>
  <si>
    <t>UI adjusts correctly or locks to portrait; no overlapping/cut-off elements</t>
  </si>
  <si>
    <t>TC033</t>
  </si>
  <si>
    <t>Font size accessibility – large text</t>
  </si>
  <si>
    <t>Logged in; phone accessibility set to largest font</t>
  </si>
  <si>
    <t>1. Set phone font to largest in Settings
2. Open GPay
3. Navigate main screens</t>
  </si>
  <si>
    <t>Text remains readable; UI elements not broken or overlapping</t>
  </si>
  <si>
    <t>TC034</t>
  </si>
  <si>
    <t>Performance</t>
  </si>
  <si>
    <t>App response time on slow network (2G/3G)</t>
  </si>
  <si>
    <t>Logged in; network set to 2G or poor signal</t>
  </si>
  <si>
    <t>1. Set phone to 2G or throttle to slow network
2. Open GPay and navigate</t>
  </si>
  <si>
    <t>App remains functional with loading indicators; does not crash</t>
  </si>
  <si>
    <t>TC035</t>
  </si>
  <si>
    <t>App memory usage after 30 min session</t>
  </si>
  <si>
    <t>Logged in; phone developer options enabled</t>
  </si>
  <si>
    <t>1. Open GPay
2. Use various features for 30 minutes
3. Check RAM usage in developer options</t>
  </si>
  <si>
    <t>No excessive memory leak; RAM usage stays within reasonable range</t>
  </si>
  <si>
    <t>Google Pay – Bug Report Log</t>
  </si>
  <si>
    <t>Bug ID</t>
  </si>
  <si>
    <t>Date Found</t>
  </si>
  <si>
    <t>Bug Title</t>
  </si>
  <si>
    <t>Steps to Reproduce</t>
  </si>
  <si>
    <t>OS Version</t>
  </si>
  <si>
    <t>App Version</t>
  </si>
  <si>
    <t>Reported By</t>
  </si>
  <si>
    <t>BUG-001</t>
  </si>
  <si>
    <t>(Bug title here)</t>
  </si>
  <si>
    <t>(Step 1: ...
Step 2: ...
Step 3: ...)</t>
  </si>
  <si>
    <t>(What should happen)</t>
  </si>
  <si>
    <t>(What actually happened)</t>
  </si>
  <si>
    <t>(Critical/Major/Minor/Trivial)</t>
  </si>
  <si>
    <t>(High/Medium/Low)</t>
  </si>
  <si>
    <t>(New/Open/Fixed/Closed)</t>
  </si>
  <si>
    <t>(e.g., 245.0)</t>
  </si>
  <si>
    <t>Mohammed Shafiq</t>
  </si>
  <si>
    <t>BUG-002</t>
  </si>
  <si>
    <t>BUG-003</t>
  </si>
  <si>
    <t>BUG-004</t>
  </si>
  <si>
    <t>BUG-005</t>
  </si>
  <si>
    <t>GPay QA Testing – Summary Dashboard</t>
  </si>
  <si>
    <t>TOTAL TEST CASES</t>
  </si>
  <si>
    <t>Test Cases Passed</t>
  </si>
  <si>
    <t>Test Cases Failed</t>
  </si>
  <si>
    <t>Blocked</t>
  </si>
  <si>
    <t>Skipped</t>
  </si>
  <si>
    <t>Not Executed</t>
  </si>
  <si>
    <t>TOTAL BUGS FOUND</t>
  </si>
  <si>
    <t>Critical Bugs</t>
  </si>
  <si>
    <t>Major Bugs</t>
  </si>
  <si>
    <t>Minor Bugs</t>
  </si>
  <si>
    <t>Trivial Bugs</t>
  </si>
  <si>
    <t>Pass Rate %</t>
  </si>
  <si>
    <t>App launched successfully in ~2 seconds. GPay home screen displayed with all icons visible. No crash or delay observed.</t>
  </si>
  <si>
    <t xml:space="preserve">Pass </t>
  </si>
  <si>
    <t xml:space="preserve">App displayed "No internet connection" banner at top. App did not crash. Retry option was visible.
</t>
  </si>
  <si>
    <t>Entered registered mobile number, received OTP within 10 seconds, entered OTP, logged in successfully. Home screen displayed correctly.</t>
  </si>
  <si>
    <t>App displayed "This number isn't registered on GPay" message. Prompted to set up a new account. Did not allow login.</t>
  </si>
  <si>
    <t>Error message "Incorrect OTP" appeared in red. Login was blocked. "Resend OTP" option was displayed below.</t>
  </si>
  <si>
    <t>After waiting 10 minutes, entered old OTP. App showed "OTP has expired. Please request a new one." Resend button was visible.</t>
  </si>
  <si>
    <t>Entered valid UPI ID, amount ₹1, tapped Pay. Entered UPI PIN. Transaction successful screen appeared with green tick. Notification received on phone.</t>
  </si>
  <si>
    <t xml:space="preserve">Entered recipient mobile number. GPay detected the contact. Entered ₹1, tapped Pay, entered PIN. "Payment Successful" screen shown. SMS notification received.
</t>
  </si>
  <si>
    <t>Entered amount greater than bank balance. After entering UPI PIN, app showed "Transaction failed – Insufficient funds" message in red. No money was deducted.</t>
  </si>
  <si>
    <t>Entered ₹0 as amount. The Pay button was greyed out and disabled. Could not proceed. Message showed "Enter an amount."</t>
  </si>
  <si>
    <t>App displayed "Transaction limit exceeded. UPI daily limit is ₹1,00,000" message. Payment was blocked. No amount was deducted.</t>
  </si>
  <si>
    <t xml:space="preserve"> After entering fake UPI ID and tapping Verify, app showed "Invalid UPI ID. Please check and try again." Payment screen did not proceed.</t>
  </si>
  <si>
    <t xml:space="preserve"> Tapped Request, selected contact, entered amount and note, tapped Request. Contact received a notification. Request showed as "Pending" in transaction history.</t>
  </si>
  <si>
    <t xml:space="preserve"> Selected electricity provider, entered account number, bill amount fetched automatically. Tapped Pay, entered UPI PIN. "Bill paid successfully" confirmation screen shown with receipt</t>
  </si>
  <si>
    <t xml:space="preserve"> Entered invalid electricity account number, tapped Fetch Bill. App showed "Account not found. Please check your account number." Could not proceed to payment</t>
  </si>
  <si>
    <t xml:space="preserve"> Entered own mobile number, operator detected automatically, selected plan, tapped Pay, entered UPI PIN. Recharge successful screen shown. Confirmation SMS received within 1 minute.</t>
  </si>
  <si>
    <t xml:space="preserve"> Entered different mobile number, selected operator and plan manually, tapped Pay. Recharge successful for the entered number. Confirmation shown on screen</t>
  </si>
  <si>
    <t>Tapped Scan QR, camera opened instantly. Pointed at valid GPay QR code, merchant name and UPI ID appeared automatically. Entered amount, tapped Pay, entered PIN. Payment successful screen shown with green tick</t>
  </si>
  <si>
    <t xml:space="preserve"> Pointed camera at a damaged QR code. App showed "Could not read QR code. Please try again or enter UPI ID manually." No payment was initiated.</t>
  </si>
  <si>
    <t>Tapped profile icon, selected transaction history. All past transactions listed with date, amount, recipient name, and status (Success/Failed). Tapped one transaction — full detail view opened correctly</t>
  </si>
  <si>
    <t>Opened transaction history, tapped filter icon, selected a custom date range, tapped Apply. Only transactions within selected dates were displayed. Transactions outside range were hidden</t>
  </si>
  <si>
    <t>Went to Settings &gt; Bank Accounts &gt; Add Bank Account. Selected bank, app sent OTP to registered mobile number, verified successfully. New bank account appeared in the account list</t>
  </si>
  <si>
    <t>Selected bank account from list, tapped Remove, confirmation dialog appeared. Tapped Confirm. Account was removed and no longer visible in the bank accounts list.</t>
  </si>
  <si>
    <t>Went to bank account settings, tapped Change UPI PIN, entered old PIN, entered new PIN twice. "UPI PIN changed successfully" confirmation shown.</t>
  </si>
  <si>
    <t>Entered wrong UPI PIN 3 consecutive times during a payment. App showed "Your UPI PIN has been blocked due to multiple incorrect attempts. Please reset your PIN." Payment was cancelled</t>
  </si>
  <si>
    <t xml:space="preserve"> Completed a ₹1 payment and minimized the app. Push notification appeared on lock screen within 5 seconds showing recipient name and amount. Tapping notification opened GPay transaction detail.</t>
  </si>
  <si>
    <t>Tapped Offers section from home screen. List of available cashback offers displayed with offer title, eligible transaction type, expiry date, and terms. All offers had valid expiry dates visible.</t>
  </si>
  <si>
    <t>Opened GPay, minimized app, waited 5 minutes, re-opened GPay. App displayed lock screen requiring fingerprint or PIN authentication before showing home screen</t>
  </si>
  <si>
    <t>Locked the app, re-opened GPay. Fingerprint prompt appeared automatically. Used registered fingerprint — app unlocked and home screen displayed immediately</t>
  </si>
  <si>
    <t>Locked the app, re-opened GPay. Used an unregistered finger on the fingerprint sensor. Authentication failed. App showed "Fingerprint not recognised. Try again or use PIN." PIN fallback option displayed</t>
  </si>
  <si>
    <t>Started a ₹1 payment, entered UPI PIN, then turned off internet before confirmation. App showed "Transaction timed out. Please check your transaction history before retrying." Balance remained unchanged. No duplicate deduction occurred.</t>
  </si>
  <si>
    <t>Rotated phone to landscape while using GPay. App automatically locked back to portrait mode. No broken UI, overlapping elements, or crashes observed</t>
  </si>
  <si>
    <t>Set phone font size to largest in Android Settings. Opened GPay and navigated through home, send money, and transaction history screens. All text remained readable. Some button labels appeared slightly cramped but no text was cut off or overlapping.</t>
  </si>
  <si>
    <t>Enabled 2G mode via Developer Options. Opened GPay — home screen loaded in approximately 8 seconds with a loading spinner visible. Navigation between screens was slow but app remained functional. No crash occurred</t>
  </si>
  <si>
    <t>Used GPay for 30 minutes — navigated home, sent money, checked history, viewed offers, scanned QR. Checked RAM usage in Developer Options. GPay was using approximately 180–220 MB RAM. No excessive memory increase over time. App remained smooth throughout.</t>
  </si>
  <si>
    <t xml:space="preserve">Redmi Note 13 pro + 5g </t>
  </si>
  <si>
    <t>Memory usage within acceptable range for a payment app. No memory leak observed during 30-minute session.</t>
  </si>
  <si>
    <t>Loading time on 2G is noticeably slow (~8 seconds). Loading spinner shown to user which is correct behaviour. App did not crash or freeze.</t>
  </si>
  <si>
    <t>Minor observation — a few button labels look tight at maximum font size but remain readable. Not a breaking issue.</t>
  </si>
  <si>
    <t>GPay is portrait-only by design. Landscape lock is intentional and handled correctly.</t>
  </si>
  <si>
    <t>This is a critical test. App handled network failure gracefully. Always advised to check history before retrying — good user guidance.</t>
  </si>
  <si>
    <t>Wrong fingerprint correctly rejected. Fallback PIN option provided as expected — good security behaviour.</t>
  </si>
  <si>
    <t>Fingerprint authentication fast and responsive. No delay observed.</t>
  </si>
  <si>
    <t>Security timeout working correctly. App does not expose home screen without re-authentication.</t>
  </si>
  <si>
    <t>Offers section loaded quickly. Expiry dates and terms clearly visible for each offer.</t>
  </si>
  <si>
    <t>Notification received instantly. Tapping notification deep-linked correctly to transaction detail.</t>
  </si>
  <si>
    <t>Security feature working correctly. Brute force PIN attempt is blocked as expected.</t>
  </si>
  <si>
    <t>PIN change process completed securely. Old PIN verified before allowing change.</t>
  </si>
  <si>
    <t>Removal confirmation dialog prevents accidental deletion — good UX.</t>
  </si>
  <si>
    <t xml:space="preserve">Bank linking process smooth and completed within 2 minutes.
</t>
  </si>
  <si>
    <t xml:space="preserve">Date filter works accurately.
</t>
  </si>
  <si>
    <t>Transaction history loads quickly. All details displayed correctly.</t>
  </si>
  <si>
    <t>App handles unreadable QR gracefully without crashing.</t>
  </si>
  <si>
    <t>QR scan was fast and accurate. Merchant details loaded correctly.</t>
  </si>
  <si>
    <t>Recharge for third-party number works as expected.</t>
  </si>
  <si>
    <t xml:space="preserve">Operator auto-detection worked correctly.
</t>
  </si>
  <si>
    <t xml:space="preserve">Error handling for invalid account number works correctly.
</t>
  </si>
  <si>
    <t>Bill fetch and payment completed without any issues.</t>
  </si>
  <si>
    <t xml:space="preserve"> Request flow works correctly end to end.</t>
  </si>
  <si>
    <t>App correctly validates UPI ID before allowing payment.</t>
  </si>
  <si>
    <t>UPI daily limit enforced correctly by the app.</t>
  </si>
  <si>
    <t>Pay button disabled automatically when ₹0 entered. No way to bypass this restriction. Input validation working at UI level.</t>
  </si>
  <si>
    <t>App correctly blocked transaction after PIN entry. No duplicate charge or partial deduction observed. Critical financial safety feature working.</t>
  </si>
  <si>
    <t>GPay contact detection worked instantly. Payment flow completed without any friction. SMS notification received promptly.</t>
  </si>
  <si>
    <t>UPI daily limit enforced correctly. Transaction blocked before deduction. No amount was debited from account.</t>
  </si>
  <si>
    <t>Waited full 10 minutes to confirm timeout behaviour. Resend OTP button functional after expiry. Expected security behaviour confirmed.</t>
  </si>
  <si>
    <t>Error message shown in red — visually clear to user. Resend OTP option easily accessible. Security working correctly.</t>
  </si>
  <si>
    <t>Error message was clear and user-friendly. Registration prompt shown immediately. Good UX for new users.</t>
  </si>
  <si>
    <t>OTP received within 10 seconds. Login flow smooth and fast. No unnecessary steps in the process.</t>
  </si>
  <si>
    <t>Banner message appeared at top of screen clearly. App remained stable without internet. Good offline error handling.</t>
  </si>
  <si>
    <t xml:space="preserve">Tested on Redmi Note 13 Pro+ 5G. App launch time excellent at ~2 seconds. No performance issues observed.
</t>
  </si>
  <si>
    <t>Button labels appear cramped at maximum font size</t>
  </si>
  <si>
    <t>Step 1: Set phone font to largest in Android Settings
Step 2: Open GPay
Step 3:Navigate to Send Money screen.</t>
  </si>
  <si>
    <t>All button labels fully visible and readable</t>
  </si>
  <si>
    <t>Some button labels appear slightly squeezed and text is partially cut at edges</t>
  </si>
  <si>
    <t xml:space="preserve">Open </t>
  </si>
  <si>
    <t xml:space="preserve"> Android 14</t>
  </si>
  <si>
    <t xml:space="preserve"> Android 16</t>
  </si>
  <si>
    <t xml:space="preserve"> Android 17</t>
  </si>
  <si>
    <t>Redmi Note 13 Pro+ 5G</t>
  </si>
  <si>
    <t>Reproducible consistently at maximum font size setting</t>
  </si>
  <si>
    <t>App home screen takes ~8 seconds to load on 2G network</t>
  </si>
  <si>
    <t>Step 1: Enable 2G mode in Developer Options
Step 2: Launch GPay
Step 3: Observe load time</t>
  </si>
  <si>
    <t>App should load within 3-4 seconds even on slow network</t>
  </si>
  <si>
    <t>App took approximately 8 seconds to fully load home screen on 2G</t>
  </si>
  <si>
    <t>Loading spinner shown during wait which is correct, but load time is high on 2G</t>
  </si>
  <si>
    <t>App forces portrait mode — no landscape support</t>
  </si>
  <si>
    <t>Step 1: Enable auto-rotate on phone
Step 2: Open GPay
Step 3: Rotate phone to landscape.</t>
  </si>
  <si>
    <t>App should either support landscape or display a proper message explaining portrait-only mode</t>
  </si>
  <si>
    <t>App silently locks to portrait with no message or explanation to the user</t>
  </si>
  <si>
    <t>Trivial</t>
  </si>
  <si>
    <t xml:space="preserve">Low </t>
  </si>
  <si>
    <t>Not a breaking issue but a UX improvement opportunity. User is given no feedback about portrait-only restriction.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</si>
</sst>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FFFFFF"/>
      <name val="Arial"/>
    </font>
    <font>
      <b/>
      <sz val="10"/>
      <name val="Arial"/>
    </font>
    <font>
      <b/>
      <sz val="10"/>
      <color rgb="FFFFFFFF"/>
      <name val="Arial"/>
    </font>
    <font>
      <sz val="10"/>
      <name val="Arial"/>
    </font>
    <font>
      <b/>
      <sz val="11"/>
      <color rgb="FFFFFFFF"/>
      <name val="Arial"/>
    </font>
    <font>
      <sz val="9"/>
      <color rgb="FF888888"/>
      <name val="Arial"/>
    </font>
    <font>
      <sz val="10"/>
      <name val="Arial"/>
      <family val="2"/>
    </font>
    <font>
      <sz val="9"/>
      <color rgb="FF888888"/>
      <name val="Arial"/>
      <family val="2"/>
    </font>
    <font>
      <sz val="8"/>
      <name val="Calibri"/>
      <family val="2"/>
      <scheme val="minor"/>
    </font>
  </fonts>
  <fills count="9">
    <fill>
      <patternFill patternType="none"/>
    </fill>
    <fill>
      <patternFill patternType="gray125"/>
    </fill>
    <fill>
      <patternFill patternType="solid">
        <fgColor rgb="FF1A5276"/>
      </patternFill>
    </fill>
    <fill>
      <patternFill patternType="solid">
        <fgColor rgb="FF1E8449"/>
      </patternFill>
    </fill>
    <fill>
      <patternFill patternType="solid">
        <fgColor rgb="FFFFFFFF"/>
      </patternFill>
    </fill>
    <fill>
      <patternFill patternType="solid">
        <fgColor rgb="FFD5F5E3"/>
      </patternFill>
    </fill>
    <fill>
      <patternFill patternType="solid">
        <fgColor rgb="FF7B241C"/>
      </patternFill>
    </fill>
    <fill>
      <patternFill patternType="solid">
        <fgColor rgb="FF922B21"/>
      </patternFill>
    </fill>
    <fill>
      <patternFill patternType="solid">
        <fgColor rgb="FFFDEDEC"/>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6">
    <xf numFmtId="0" fontId="0" fillId="0" borderId="0" xfId="0"/>
    <xf numFmtId="0" fontId="5" fillId="2"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 fillId="7" borderId="1" xfId="0" applyFont="1" applyFill="1" applyBorder="1" applyAlignment="1">
      <alignment horizontal="center" vertical="center" wrapText="1"/>
    </xf>
    <xf numFmtId="0" fontId="6" fillId="4" borderId="1" xfId="0" applyFont="1" applyFill="1" applyBorder="1" applyAlignment="1">
      <alignment horizontal="left" vertical="center" wrapText="1"/>
    </xf>
    <xf numFmtId="0" fontId="6" fillId="8" borderId="1" xfId="0" applyFont="1" applyFill="1" applyBorder="1" applyAlignment="1">
      <alignment horizontal="left" vertical="center" wrapText="1"/>
    </xf>
    <xf numFmtId="0" fontId="0" fillId="0" borderId="0" xfId="0" applyAlignment="1">
      <alignment horizontal="left" vertical="center" wrapText="1"/>
    </xf>
    <xf numFmtId="0" fontId="5"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4" fillId="0" borderId="1" xfId="0" applyFont="1" applyBorder="1" applyAlignment="1">
      <alignment horizontal="left" vertical="center" wrapText="1"/>
    </xf>
    <xf numFmtId="0" fontId="5" fillId="7" borderId="1" xfId="0" applyFont="1" applyFill="1" applyBorder="1" applyAlignment="1">
      <alignment horizontal="left" vertical="center" wrapText="1"/>
    </xf>
    <xf numFmtId="0" fontId="5" fillId="2" borderId="1" xfId="0" applyFont="1" applyFill="1" applyBorder="1" applyAlignment="1">
      <alignment horizontal="left" vertical="center" wrapText="1"/>
    </xf>
    <xf numFmtId="0" fontId="4" fillId="0" borderId="0" xfId="0" applyFont="1" applyAlignment="1">
      <alignment horizontal="left" vertical="center" wrapText="1"/>
    </xf>
    <xf numFmtId="0" fontId="0" fillId="0" borderId="0" xfId="0"/>
    <xf numFmtId="0" fontId="1" fillId="2" borderId="0" xfId="0" applyFont="1" applyFill="1" applyAlignment="1">
      <alignment horizontal="center" vertical="center" wrapText="1"/>
    </xf>
    <xf numFmtId="0" fontId="3" fillId="3" borderId="0" xfId="0" applyFont="1" applyFill="1" applyAlignment="1">
      <alignment horizontal="left" vertical="center" wrapText="1"/>
    </xf>
    <xf numFmtId="0" fontId="1" fillId="6" borderId="0" xfId="0" applyFont="1" applyFill="1" applyAlignment="1">
      <alignment horizontal="center" vertical="center" wrapText="1"/>
    </xf>
    <xf numFmtId="0" fontId="5" fillId="3" borderId="1" xfId="0" applyFont="1" applyFill="1" applyBorder="1" applyAlignment="1">
      <alignment horizontal="left" vertical="center" wrapText="1"/>
    </xf>
    <xf numFmtId="0" fontId="7" fillId="4" borderId="1" xfId="0" applyFont="1" applyFill="1" applyBorder="1" applyAlignment="1">
      <alignment horizontal="left" vertical="center" wrapText="1"/>
    </xf>
    <xf numFmtId="0" fontId="7" fillId="5" borderId="1" xfId="0" applyFont="1" applyFill="1" applyBorder="1" applyAlignment="1">
      <alignment horizontal="left" vertical="center" wrapText="1"/>
    </xf>
    <xf numFmtId="14" fontId="6" fillId="4" borderId="1" xfId="0" applyNumberFormat="1" applyFont="1" applyFill="1" applyBorder="1" applyAlignment="1">
      <alignment horizontal="left" vertical="center" wrapText="1"/>
    </xf>
    <xf numFmtId="0" fontId="8" fillId="4" borderId="1" xfId="0" applyFont="1" applyFill="1" applyBorder="1" applyAlignment="1">
      <alignment horizontal="left" vertical="center" wrapText="1"/>
    </xf>
    <xf numFmtId="0" fontId="8" fillId="8" borderId="1" xfId="0" applyFont="1" applyFill="1" applyBorder="1" applyAlignment="1">
      <alignment horizontal="left" vertical="center" wrapText="1"/>
    </xf>
    <xf numFmtId="14" fontId="8" fillId="4" borderId="1" xfId="0" applyNumberFormat="1" applyFont="1" applyFill="1" applyBorder="1" applyAlignment="1">
      <alignment horizontal="left" vertical="center" wrapText="1"/>
    </xf>
    <xf numFmtId="9" fontId="5" fillId="2" borderId="1" xfId="0" applyNumberFormat="1"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tabSelected="1" zoomScale="93" workbookViewId="0">
      <pane ySplit="4" topLeftCell="A5" activePane="bottomLeft" state="frozen"/>
      <selection pane="bottomLeft" activeCell="L5" sqref="L5"/>
    </sheetView>
  </sheetViews>
  <sheetFormatPr baseColWidth="10" defaultColWidth="8.83203125" defaultRowHeight="15" x14ac:dyDescent="0.2"/>
  <cols>
    <col min="1" max="1" width="8" customWidth="1"/>
    <col min="2" max="2" width="18" customWidth="1"/>
    <col min="3" max="3" width="30" customWidth="1"/>
    <col min="4" max="4" width="28" customWidth="1"/>
    <col min="5" max="5" width="48" customWidth="1"/>
    <col min="6" max="6" width="38" customWidth="1"/>
    <col min="7" max="7" width="28" customWidth="1"/>
    <col min="8" max="10" width="10" customWidth="1"/>
    <col min="11" max="11" width="14" customWidth="1"/>
    <col min="12" max="12" width="20" customWidth="1"/>
  </cols>
  <sheetData>
    <row r="1" spans="1:12" ht="36" customHeight="1" x14ac:dyDescent="0.2">
      <c r="A1" s="15" t="s">
        <v>0</v>
      </c>
      <c r="B1" s="14"/>
      <c r="C1" s="14"/>
      <c r="D1" s="14"/>
      <c r="E1" s="14"/>
      <c r="F1" s="14"/>
      <c r="G1" s="14"/>
      <c r="H1" s="14"/>
      <c r="I1" s="14"/>
      <c r="J1" s="14"/>
      <c r="K1" s="14"/>
      <c r="L1" s="14"/>
    </row>
    <row r="2" spans="1:12" ht="20" customHeight="1" x14ac:dyDescent="0.2">
      <c r="A2" s="16" t="s">
        <v>1</v>
      </c>
      <c r="B2" s="14"/>
      <c r="C2" s="14"/>
      <c r="D2" s="14"/>
      <c r="E2" s="16" t="s">
        <v>2</v>
      </c>
      <c r="F2" s="14"/>
      <c r="G2" s="14"/>
      <c r="H2" s="14"/>
      <c r="I2" s="16" t="s">
        <v>3</v>
      </c>
      <c r="J2" s="14"/>
      <c r="K2" s="14"/>
      <c r="L2" s="14"/>
    </row>
    <row r="3" spans="1:12" ht="18" customHeight="1" x14ac:dyDescent="0.2">
      <c r="A3" s="13" t="s">
        <v>4</v>
      </c>
      <c r="B3" s="14"/>
      <c r="C3" s="14"/>
      <c r="D3" s="14"/>
      <c r="E3" s="13" t="s">
        <v>5</v>
      </c>
      <c r="F3" s="14"/>
      <c r="G3" s="14"/>
      <c r="H3" s="14"/>
      <c r="I3" s="13" t="s">
        <v>6</v>
      </c>
      <c r="J3" s="14"/>
      <c r="K3" s="14"/>
      <c r="L3" s="14"/>
    </row>
    <row r="4" spans="1:12" ht="28" customHeight="1" x14ac:dyDescent="0.2">
      <c r="A4" s="1" t="s">
        <v>7</v>
      </c>
      <c r="B4" s="1" t="s">
        <v>8</v>
      </c>
      <c r="C4" s="1" t="s">
        <v>9</v>
      </c>
      <c r="D4" s="1" t="s">
        <v>10</v>
      </c>
      <c r="E4" s="1" t="s">
        <v>11</v>
      </c>
      <c r="F4" s="1" t="s">
        <v>12</v>
      </c>
      <c r="G4" s="1" t="s">
        <v>13</v>
      </c>
      <c r="H4" s="1" t="s">
        <v>14</v>
      </c>
      <c r="I4" s="1" t="s">
        <v>15</v>
      </c>
      <c r="J4" s="1" t="s">
        <v>16</v>
      </c>
      <c r="K4" s="1" t="s">
        <v>17</v>
      </c>
      <c r="L4" s="1" t="s">
        <v>18</v>
      </c>
    </row>
    <row r="5" spans="1:12" ht="72" customHeight="1" x14ac:dyDescent="0.2">
      <c r="A5" s="2" t="s">
        <v>19</v>
      </c>
      <c r="B5" s="2" t="s">
        <v>20</v>
      </c>
      <c r="C5" s="2" t="s">
        <v>21</v>
      </c>
      <c r="D5" s="2" t="s">
        <v>22</v>
      </c>
      <c r="E5" s="2" t="s">
        <v>23</v>
      </c>
      <c r="F5" s="2" t="s">
        <v>24</v>
      </c>
      <c r="G5" s="19" t="s">
        <v>245</v>
      </c>
      <c r="H5" s="19" t="s">
        <v>246</v>
      </c>
      <c r="I5" s="2" t="s">
        <v>25</v>
      </c>
      <c r="J5" s="2" t="s">
        <v>26</v>
      </c>
      <c r="K5" s="19" t="s">
        <v>281</v>
      </c>
      <c r="L5" s="19" t="s">
        <v>316</v>
      </c>
    </row>
    <row r="6" spans="1:12" ht="72" customHeight="1" x14ac:dyDescent="0.2">
      <c r="A6" s="3" t="s">
        <v>27</v>
      </c>
      <c r="B6" s="3" t="s">
        <v>20</v>
      </c>
      <c r="C6" s="3" t="s">
        <v>28</v>
      </c>
      <c r="D6" s="3" t="s">
        <v>29</v>
      </c>
      <c r="E6" s="3" t="s">
        <v>30</v>
      </c>
      <c r="F6" s="3" t="s">
        <v>31</v>
      </c>
      <c r="G6" s="20" t="s">
        <v>247</v>
      </c>
      <c r="H6" s="20" t="s">
        <v>246</v>
      </c>
      <c r="I6" s="3" t="s">
        <v>25</v>
      </c>
      <c r="J6" s="3" t="s">
        <v>32</v>
      </c>
      <c r="K6" s="19" t="s">
        <v>281</v>
      </c>
      <c r="L6" s="20" t="s">
        <v>315</v>
      </c>
    </row>
    <row r="7" spans="1:12" ht="72" customHeight="1" x14ac:dyDescent="0.2">
      <c r="A7" s="2" t="s">
        <v>33</v>
      </c>
      <c r="B7" s="2" t="s">
        <v>34</v>
      </c>
      <c r="C7" s="2" t="s">
        <v>35</v>
      </c>
      <c r="D7" s="2" t="s">
        <v>36</v>
      </c>
      <c r="E7" s="2" t="s">
        <v>37</v>
      </c>
      <c r="F7" s="2" t="s">
        <v>38</v>
      </c>
      <c r="G7" s="19" t="s">
        <v>248</v>
      </c>
      <c r="H7" s="19" t="s">
        <v>246</v>
      </c>
      <c r="I7" s="2" t="s">
        <v>25</v>
      </c>
      <c r="J7" s="2" t="s">
        <v>26</v>
      </c>
      <c r="K7" s="19" t="s">
        <v>281</v>
      </c>
      <c r="L7" s="19" t="s">
        <v>314</v>
      </c>
    </row>
    <row r="8" spans="1:12" ht="72" customHeight="1" x14ac:dyDescent="0.2">
      <c r="A8" s="3" t="s">
        <v>39</v>
      </c>
      <c r="B8" s="3" t="s">
        <v>34</v>
      </c>
      <c r="C8" s="3" t="s">
        <v>40</v>
      </c>
      <c r="D8" s="3" t="s">
        <v>41</v>
      </c>
      <c r="E8" s="3" t="s">
        <v>42</v>
      </c>
      <c r="F8" s="3" t="s">
        <v>43</v>
      </c>
      <c r="G8" s="20" t="s">
        <v>249</v>
      </c>
      <c r="H8" s="20" t="s">
        <v>246</v>
      </c>
      <c r="I8" s="3" t="s">
        <v>25</v>
      </c>
      <c r="J8" s="3" t="s">
        <v>32</v>
      </c>
      <c r="K8" s="19" t="s">
        <v>281</v>
      </c>
      <c r="L8" s="20" t="s">
        <v>313</v>
      </c>
    </row>
    <row r="9" spans="1:12" ht="72" customHeight="1" x14ac:dyDescent="0.2">
      <c r="A9" s="2" t="s">
        <v>44</v>
      </c>
      <c r="B9" s="2" t="s">
        <v>34</v>
      </c>
      <c r="C9" s="2" t="s">
        <v>45</v>
      </c>
      <c r="D9" s="2" t="s">
        <v>46</v>
      </c>
      <c r="E9" s="2" t="s">
        <v>47</v>
      </c>
      <c r="F9" s="2" t="s">
        <v>48</v>
      </c>
      <c r="G9" s="19" t="s">
        <v>250</v>
      </c>
      <c r="H9" s="20" t="s">
        <v>246</v>
      </c>
      <c r="I9" s="2" t="s">
        <v>25</v>
      </c>
      <c r="J9" s="2" t="s">
        <v>32</v>
      </c>
      <c r="K9" s="19" t="s">
        <v>281</v>
      </c>
      <c r="L9" s="19" t="s">
        <v>312</v>
      </c>
    </row>
    <row r="10" spans="1:12" ht="72" customHeight="1" x14ac:dyDescent="0.2">
      <c r="A10" s="3" t="s">
        <v>49</v>
      </c>
      <c r="B10" s="3" t="s">
        <v>34</v>
      </c>
      <c r="C10" s="3" t="s">
        <v>50</v>
      </c>
      <c r="D10" s="3" t="s">
        <v>46</v>
      </c>
      <c r="E10" s="3" t="s">
        <v>51</v>
      </c>
      <c r="F10" s="3" t="s">
        <v>52</v>
      </c>
      <c r="G10" s="20" t="s">
        <v>251</v>
      </c>
      <c r="H10" s="20" t="s">
        <v>246</v>
      </c>
      <c r="I10" s="3" t="s">
        <v>53</v>
      </c>
      <c r="J10" s="3" t="s">
        <v>54</v>
      </c>
      <c r="K10" s="19" t="s">
        <v>281</v>
      </c>
      <c r="L10" s="20" t="s">
        <v>311</v>
      </c>
    </row>
    <row r="11" spans="1:12" ht="72" customHeight="1" x14ac:dyDescent="0.2">
      <c r="A11" s="2" t="s">
        <v>55</v>
      </c>
      <c r="B11" s="2" t="s">
        <v>56</v>
      </c>
      <c r="C11" s="2" t="s">
        <v>57</v>
      </c>
      <c r="D11" s="2" t="s">
        <v>58</v>
      </c>
      <c r="E11" s="2" t="s">
        <v>59</v>
      </c>
      <c r="F11" s="2" t="s">
        <v>60</v>
      </c>
      <c r="G11" s="19" t="s">
        <v>252</v>
      </c>
      <c r="H11" s="20" t="s">
        <v>246</v>
      </c>
      <c r="I11" s="2" t="s">
        <v>25</v>
      </c>
      <c r="J11" s="2" t="s">
        <v>26</v>
      </c>
      <c r="K11" s="19" t="s">
        <v>281</v>
      </c>
      <c r="L11" s="19" t="s">
        <v>310</v>
      </c>
    </row>
    <row r="12" spans="1:12" ht="72" customHeight="1" x14ac:dyDescent="0.2">
      <c r="A12" s="3" t="s">
        <v>61</v>
      </c>
      <c r="B12" s="3" t="s">
        <v>56</v>
      </c>
      <c r="C12" s="3" t="s">
        <v>62</v>
      </c>
      <c r="D12" s="3" t="s">
        <v>63</v>
      </c>
      <c r="E12" s="3" t="s">
        <v>64</v>
      </c>
      <c r="F12" s="3" t="s">
        <v>65</v>
      </c>
      <c r="G12" s="20" t="s">
        <v>253</v>
      </c>
      <c r="H12" s="20" t="s">
        <v>246</v>
      </c>
      <c r="I12" s="3" t="s">
        <v>25</v>
      </c>
      <c r="J12" s="3" t="s">
        <v>26</v>
      </c>
      <c r="K12" s="19" t="s">
        <v>281</v>
      </c>
      <c r="L12" s="20" t="s">
        <v>309</v>
      </c>
    </row>
    <row r="13" spans="1:12" ht="72" customHeight="1" x14ac:dyDescent="0.2">
      <c r="A13" s="2" t="s">
        <v>66</v>
      </c>
      <c r="B13" s="2" t="s">
        <v>56</v>
      </c>
      <c r="C13" s="2" t="s">
        <v>67</v>
      </c>
      <c r="D13" s="2" t="s">
        <v>68</v>
      </c>
      <c r="E13" s="2" t="s">
        <v>69</v>
      </c>
      <c r="F13" s="2" t="s">
        <v>70</v>
      </c>
      <c r="G13" s="19" t="s">
        <v>254</v>
      </c>
      <c r="H13" s="20" t="s">
        <v>246</v>
      </c>
      <c r="I13" s="2" t="s">
        <v>25</v>
      </c>
      <c r="J13" s="2" t="s">
        <v>32</v>
      </c>
      <c r="K13" s="19" t="s">
        <v>281</v>
      </c>
      <c r="L13" s="19" t="s">
        <v>308</v>
      </c>
    </row>
    <row r="14" spans="1:12" ht="72" customHeight="1" x14ac:dyDescent="0.2">
      <c r="A14" s="3" t="s">
        <v>71</v>
      </c>
      <c r="B14" s="3" t="s">
        <v>56</v>
      </c>
      <c r="C14" s="3" t="s">
        <v>72</v>
      </c>
      <c r="D14" s="3" t="s">
        <v>73</v>
      </c>
      <c r="E14" s="3" t="s">
        <v>74</v>
      </c>
      <c r="F14" s="3" t="s">
        <v>75</v>
      </c>
      <c r="G14" s="20" t="s">
        <v>255</v>
      </c>
      <c r="H14" s="20" t="s">
        <v>246</v>
      </c>
      <c r="I14" s="3" t="s">
        <v>53</v>
      </c>
      <c r="J14" s="3" t="s">
        <v>32</v>
      </c>
      <c r="K14" s="19" t="s">
        <v>281</v>
      </c>
      <c r="L14" s="20" t="s">
        <v>307</v>
      </c>
    </row>
    <row r="15" spans="1:12" ht="72" customHeight="1" x14ac:dyDescent="0.2">
      <c r="A15" s="2" t="s">
        <v>76</v>
      </c>
      <c r="B15" s="2" t="s">
        <v>56</v>
      </c>
      <c r="C15" s="2" t="s">
        <v>77</v>
      </c>
      <c r="D15" s="2" t="s">
        <v>78</v>
      </c>
      <c r="E15" s="2" t="s">
        <v>79</v>
      </c>
      <c r="F15" s="2" t="s">
        <v>80</v>
      </c>
      <c r="G15" s="19" t="s">
        <v>256</v>
      </c>
      <c r="H15" s="20" t="s">
        <v>246</v>
      </c>
      <c r="I15" s="2" t="s">
        <v>25</v>
      </c>
      <c r="J15" s="2" t="s">
        <v>32</v>
      </c>
      <c r="K15" s="19" t="s">
        <v>281</v>
      </c>
      <c r="L15" s="19" t="s">
        <v>306</v>
      </c>
    </row>
    <row r="16" spans="1:12" ht="72" customHeight="1" x14ac:dyDescent="0.2">
      <c r="A16" s="3" t="s">
        <v>81</v>
      </c>
      <c r="B16" s="3" t="s">
        <v>56</v>
      </c>
      <c r="C16" s="3" t="s">
        <v>82</v>
      </c>
      <c r="D16" s="3" t="s">
        <v>73</v>
      </c>
      <c r="E16" s="3" t="s">
        <v>83</v>
      </c>
      <c r="F16" s="3" t="s">
        <v>84</v>
      </c>
      <c r="G16" s="20" t="s">
        <v>257</v>
      </c>
      <c r="H16" s="20" t="s">
        <v>246</v>
      </c>
      <c r="I16" s="3" t="s">
        <v>25</v>
      </c>
      <c r="J16" s="3" t="s">
        <v>26</v>
      </c>
      <c r="K16" s="19" t="s">
        <v>281</v>
      </c>
      <c r="L16" s="20" t="s">
        <v>305</v>
      </c>
    </row>
    <row r="17" spans="1:12" ht="72" customHeight="1" x14ac:dyDescent="0.2">
      <c r="A17" s="2" t="s">
        <v>85</v>
      </c>
      <c r="B17" s="2" t="s">
        <v>86</v>
      </c>
      <c r="C17" s="2" t="s">
        <v>87</v>
      </c>
      <c r="D17" s="2" t="s">
        <v>88</v>
      </c>
      <c r="E17" s="2" t="s">
        <v>89</v>
      </c>
      <c r="F17" s="2" t="s">
        <v>90</v>
      </c>
      <c r="G17" s="19" t="s">
        <v>258</v>
      </c>
      <c r="H17" s="20" t="s">
        <v>246</v>
      </c>
      <c r="I17" s="2" t="s">
        <v>53</v>
      </c>
      <c r="J17" s="2" t="s">
        <v>32</v>
      </c>
      <c r="K17" s="19" t="s">
        <v>281</v>
      </c>
      <c r="L17" s="19" t="s">
        <v>304</v>
      </c>
    </row>
    <row r="18" spans="1:12" ht="72" customHeight="1" x14ac:dyDescent="0.2">
      <c r="A18" s="3" t="s">
        <v>91</v>
      </c>
      <c r="B18" s="3" t="s">
        <v>92</v>
      </c>
      <c r="C18" s="3" t="s">
        <v>93</v>
      </c>
      <c r="D18" s="3" t="s">
        <v>94</v>
      </c>
      <c r="E18" s="3" t="s">
        <v>95</v>
      </c>
      <c r="F18" s="3" t="s">
        <v>96</v>
      </c>
      <c r="G18" s="20" t="s">
        <v>259</v>
      </c>
      <c r="H18" s="20" t="s">
        <v>246</v>
      </c>
      <c r="I18" s="3" t="s">
        <v>25</v>
      </c>
      <c r="J18" s="3" t="s">
        <v>32</v>
      </c>
      <c r="K18" s="19" t="s">
        <v>281</v>
      </c>
      <c r="L18" s="20" t="s">
        <v>303</v>
      </c>
    </row>
    <row r="19" spans="1:12" ht="72" customHeight="1" x14ac:dyDescent="0.2">
      <c r="A19" s="2" t="s">
        <v>97</v>
      </c>
      <c r="B19" s="2" t="s">
        <v>92</v>
      </c>
      <c r="C19" s="2" t="s">
        <v>98</v>
      </c>
      <c r="D19" s="2" t="s">
        <v>99</v>
      </c>
      <c r="E19" s="2" t="s">
        <v>100</v>
      </c>
      <c r="F19" s="2" t="s">
        <v>101</v>
      </c>
      <c r="G19" s="19" t="s">
        <v>260</v>
      </c>
      <c r="H19" s="20" t="s">
        <v>246</v>
      </c>
      <c r="I19" s="2" t="s">
        <v>25</v>
      </c>
      <c r="J19" s="2" t="s">
        <v>32</v>
      </c>
      <c r="K19" s="19" t="s">
        <v>281</v>
      </c>
      <c r="L19" s="19" t="s">
        <v>302</v>
      </c>
    </row>
    <row r="20" spans="1:12" ht="72" customHeight="1" x14ac:dyDescent="0.2">
      <c r="A20" s="3" t="s">
        <v>102</v>
      </c>
      <c r="B20" s="3" t="s">
        <v>103</v>
      </c>
      <c r="C20" s="3" t="s">
        <v>104</v>
      </c>
      <c r="D20" s="3" t="s">
        <v>73</v>
      </c>
      <c r="E20" s="3" t="s">
        <v>105</v>
      </c>
      <c r="F20" s="3" t="s">
        <v>106</v>
      </c>
      <c r="G20" s="20" t="s">
        <v>261</v>
      </c>
      <c r="H20" s="20" t="s">
        <v>246</v>
      </c>
      <c r="I20" s="3" t="s">
        <v>25</v>
      </c>
      <c r="J20" s="3" t="s">
        <v>32</v>
      </c>
      <c r="K20" s="19" t="s">
        <v>281</v>
      </c>
      <c r="L20" s="20" t="s">
        <v>301</v>
      </c>
    </row>
    <row r="21" spans="1:12" ht="72" customHeight="1" x14ac:dyDescent="0.2">
      <c r="A21" s="2" t="s">
        <v>107</v>
      </c>
      <c r="B21" s="2" t="s">
        <v>103</v>
      </c>
      <c r="C21" s="2" t="s">
        <v>108</v>
      </c>
      <c r="D21" s="2" t="s">
        <v>73</v>
      </c>
      <c r="E21" s="2" t="s">
        <v>109</v>
      </c>
      <c r="F21" s="2" t="s">
        <v>110</v>
      </c>
      <c r="G21" s="19" t="s">
        <v>262</v>
      </c>
      <c r="H21" s="20" t="s">
        <v>246</v>
      </c>
      <c r="I21" s="2" t="s">
        <v>53</v>
      </c>
      <c r="J21" s="2" t="s">
        <v>32</v>
      </c>
      <c r="K21" s="19" t="s">
        <v>281</v>
      </c>
      <c r="L21" s="19" t="s">
        <v>300</v>
      </c>
    </row>
    <row r="22" spans="1:12" ht="72" customHeight="1" x14ac:dyDescent="0.2">
      <c r="A22" s="3" t="s">
        <v>111</v>
      </c>
      <c r="B22" s="3" t="s">
        <v>112</v>
      </c>
      <c r="C22" s="3" t="s">
        <v>113</v>
      </c>
      <c r="D22" s="3" t="s">
        <v>114</v>
      </c>
      <c r="E22" s="3" t="s">
        <v>115</v>
      </c>
      <c r="F22" s="3" t="s">
        <v>116</v>
      </c>
      <c r="G22" s="20" t="s">
        <v>263</v>
      </c>
      <c r="H22" s="20" t="s">
        <v>246</v>
      </c>
      <c r="I22" s="3" t="s">
        <v>25</v>
      </c>
      <c r="J22" s="3" t="s">
        <v>26</v>
      </c>
      <c r="K22" s="19" t="s">
        <v>281</v>
      </c>
      <c r="L22" s="20" t="s">
        <v>299</v>
      </c>
    </row>
    <row r="23" spans="1:12" ht="72" customHeight="1" x14ac:dyDescent="0.2">
      <c r="A23" s="2" t="s">
        <v>117</v>
      </c>
      <c r="B23" s="2" t="s">
        <v>112</v>
      </c>
      <c r="C23" s="2" t="s">
        <v>118</v>
      </c>
      <c r="D23" s="2" t="s">
        <v>119</v>
      </c>
      <c r="E23" s="2" t="s">
        <v>120</v>
      </c>
      <c r="F23" s="2" t="s">
        <v>121</v>
      </c>
      <c r="G23" s="19" t="s">
        <v>264</v>
      </c>
      <c r="H23" s="20" t="s">
        <v>246</v>
      </c>
      <c r="I23" s="2" t="s">
        <v>25</v>
      </c>
      <c r="J23" s="2" t="s">
        <v>32</v>
      </c>
      <c r="K23" s="19" t="s">
        <v>281</v>
      </c>
      <c r="L23" s="19" t="s">
        <v>298</v>
      </c>
    </row>
    <row r="24" spans="1:12" ht="72" customHeight="1" x14ac:dyDescent="0.2">
      <c r="A24" s="3" t="s">
        <v>122</v>
      </c>
      <c r="B24" s="3" t="s">
        <v>123</v>
      </c>
      <c r="C24" s="3" t="s">
        <v>124</v>
      </c>
      <c r="D24" s="3" t="s">
        <v>125</v>
      </c>
      <c r="E24" s="3" t="s">
        <v>126</v>
      </c>
      <c r="F24" s="3" t="s">
        <v>127</v>
      </c>
      <c r="G24" s="20" t="s">
        <v>265</v>
      </c>
      <c r="H24" s="20" t="s">
        <v>246</v>
      </c>
      <c r="I24" s="3" t="s">
        <v>53</v>
      </c>
      <c r="J24" s="3" t="s">
        <v>54</v>
      </c>
      <c r="K24" s="19" t="s">
        <v>281</v>
      </c>
      <c r="L24" s="20" t="s">
        <v>297</v>
      </c>
    </row>
    <row r="25" spans="1:12" ht="72" customHeight="1" x14ac:dyDescent="0.2">
      <c r="A25" s="2" t="s">
        <v>128</v>
      </c>
      <c r="B25" s="2" t="s">
        <v>123</v>
      </c>
      <c r="C25" s="2" t="s">
        <v>129</v>
      </c>
      <c r="D25" s="2" t="s">
        <v>130</v>
      </c>
      <c r="E25" s="2" t="s">
        <v>131</v>
      </c>
      <c r="F25" s="2" t="s">
        <v>132</v>
      </c>
      <c r="G25" s="19" t="s">
        <v>266</v>
      </c>
      <c r="H25" s="20" t="s">
        <v>246</v>
      </c>
      <c r="I25" s="2" t="s">
        <v>133</v>
      </c>
      <c r="J25" s="2" t="s">
        <v>54</v>
      </c>
      <c r="K25" s="19" t="s">
        <v>281</v>
      </c>
      <c r="L25" s="19" t="s">
        <v>296</v>
      </c>
    </row>
    <row r="26" spans="1:12" ht="72" customHeight="1" x14ac:dyDescent="0.2">
      <c r="A26" s="3" t="s">
        <v>134</v>
      </c>
      <c r="B26" s="3" t="s">
        <v>135</v>
      </c>
      <c r="C26" s="3" t="s">
        <v>136</v>
      </c>
      <c r="D26" s="3" t="s">
        <v>137</v>
      </c>
      <c r="E26" s="3" t="s">
        <v>138</v>
      </c>
      <c r="F26" s="3" t="s">
        <v>139</v>
      </c>
      <c r="G26" s="20" t="s">
        <v>267</v>
      </c>
      <c r="H26" s="20" t="s">
        <v>246</v>
      </c>
      <c r="I26" s="3" t="s">
        <v>25</v>
      </c>
      <c r="J26" s="3" t="s">
        <v>26</v>
      </c>
      <c r="K26" s="19" t="s">
        <v>281</v>
      </c>
      <c r="L26" s="20" t="s">
        <v>295</v>
      </c>
    </row>
    <row r="27" spans="1:12" ht="72" customHeight="1" x14ac:dyDescent="0.2">
      <c r="A27" s="2" t="s">
        <v>140</v>
      </c>
      <c r="B27" s="2" t="s">
        <v>135</v>
      </c>
      <c r="C27" s="2" t="s">
        <v>141</v>
      </c>
      <c r="D27" s="2" t="s">
        <v>142</v>
      </c>
      <c r="E27" s="2" t="s">
        <v>143</v>
      </c>
      <c r="F27" s="2" t="s">
        <v>144</v>
      </c>
      <c r="G27" s="19" t="s">
        <v>268</v>
      </c>
      <c r="H27" s="20" t="s">
        <v>246</v>
      </c>
      <c r="I27" s="2" t="s">
        <v>53</v>
      </c>
      <c r="J27" s="2" t="s">
        <v>32</v>
      </c>
      <c r="K27" s="19" t="s">
        <v>281</v>
      </c>
      <c r="L27" s="19" t="s">
        <v>294</v>
      </c>
    </row>
    <row r="28" spans="1:12" ht="72" customHeight="1" x14ac:dyDescent="0.2">
      <c r="A28" s="3" t="s">
        <v>145</v>
      </c>
      <c r="B28" s="3" t="s">
        <v>146</v>
      </c>
      <c r="C28" s="3" t="s">
        <v>147</v>
      </c>
      <c r="D28" s="3" t="s">
        <v>148</v>
      </c>
      <c r="E28" s="3" t="s">
        <v>149</v>
      </c>
      <c r="F28" s="3" t="s">
        <v>150</v>
      </c>
      <c r="G28" s="20" t="s">
        <v>269</v>
      </c>
      <c r="H28" s="20" t="s">
        <v>246</v>
      </c>
      <c r="I28" s="3" t="s">
        <v>25</v>
      </c>
      <c r="J28" s="3" t="s">
        <v>26</v>
      </c>
      <c r="K28" s="19" t="s">
        <v>281</v>
      </c>
      <c r="L28" s="20" t="s">
        <v>293</v>
      </c>
    </row>
    <row r="29" spans="1:12" ht="72" customHeight="1" x14ac:dyDescent="0.2">
      <c r="A29" s="2" t="s">
        <v>151</v>
      </c>
      <c r="B29" s="2" t="s">
        <v>146</v>
      </c>
      <c r="C29" s="2" t="s">
        <v>152</v>
      </c>
      <c r="D29" s="2" t="s">
        <v>148</v>
      </c>
      <c r="E29" s="2" t="s">
        <v>153</v>
      </c>
      <c r="F29" s="2" t="s">
        <v>154</v>
      </c>
      <c r="G29" s="19" t="s">
        <v>270</v>
      </c>
      <c r="H29" s="20" t="s">
        <v>246</v>
      </c>
      <c r="I29" s="2" t="s">
        <v>25</v>
      </c>
      <c r="J29" s="2" t="s">
        <v>26</v>
      </c>
      <c r="K29" s="19" t="s">
        <v>281</v>
      </c>
      <c r="L29" s="19" t="s">
        <v>292</v>
      </c>
    </row>
    <row r="30" spans="1:12" ht="72" customHeight="1" x14ac:dyDescent="0.2">
      <c r="A30" s="3" t="s">
        <v>155</v>
      </c>
      <c r="B30" s="3" t="s">
        <v>156</v>
      </c>
      <c r="C30" s="3" t="s">
        <v>157</v>
      </c>
      <c r="D30" s="3" t="s">
        <v>158</v>
      </c>
      <c r="E30" s="3" t="s">
        <v>159</v>
      </c>
      <c r="F30" s="3" t="s">
        <v>160</v>
      </c>
      <c r="G30" s="20" t="s">
        <v>271</v>
      </c>
      <c r="H30" s="20" t="s">
        <v>246</v>
      </c>
      <c r="I30" s="3" t="s">
        <v>53</v>
      </c>
      <c r="J30" s="3" t="s">
        <v>54</v>
      </c>
      <c r="K30" s="19" t="s">
        <v>281</v>
      </c>
      <c r="L30" s="20" t="s">
        <v>291</v>
      </c>
    </row>
    <row r="31" spans="1:12" ht="72" customHeight="1" x14ac:dyDescent="0.2">
      <c r="A31" s="2" t="s">
        <v>161</v>
      </c>
      <c r="B31" s="2" t="s">
        <v>162</v>
      </c>
      <c r="C31" s="2" t="s">
        <v>163</v>
      </c>
      <c r="D31" s="2" t="s">
        <v>99</v>
      </c>
      <c r="E31" s="2" t="s">
        <v>164</v>
      </c>
      <c r="F31" s="2" t="s">
        <v>165</v>
      </c>
      <c r="G31" s="19" t="s">
        <v>272</v>
      </c>
      <c r="H31" s="20" t="s">
        <v>246</v>
      </c>
      <c r="I31" s="2" t="s">
        <v>133</v>
      </c>
      <c r="J31" s="2" t="s">
        <v>54</v>
      </c>
      <c r="K31" s="19" t="s">
        <v>281</v>
      </c>
      <c r="L31" s="19" t="s">
        <v>290</v>
      </c>
    </row>
    <row r="32" spans="1:12" ht="72" customHeight="1" x14ac:dyDescent="0.2">
      <c r="A32" s="3" t="s">
        <v>166</v>
      </c>
      <c r="B32" s="3" t="s">
        <v>167</v>
      </c>
      <c r="C32" s="3" t="s">
        <v>168</v>
      </c>
      <c r="D32" s="3" t="s">
        <v>169</v>
      </c>
      <c r="E32" s="3" t="s">
        <v>170</v>
      </c>
      <c r="F32" s="3" t="s">
        <v>171</v>
      </c>
      <c r="G32" s="20" t="s">
        <v>273</v>
      </c>
      <c r="H32" s="20" t="s">
        <v>246</v>
      </c>
      <c r="I32" s="3" t="s">
        <v>25</v>
      </c>
      <c r="J32" s="3" t="s">
        <v>32</v>
      </c>
      <c r="K32" s="19" t="s">
        <v>281</v>
      </c>
      <c r="L32" s="20" t="s">
        <v>289</v>
      </c>
    </row>
    <row r="33" spans="1:12" ht="72" customHeight="1" x14ac:dyDescent="0.2">
      <c r="A33" s="2" t="s">
        <v>172</v>
      </c>
      <c r="B33" s="2" t="s">
        <v>167</v>
      </c>
      <c r="C33" s="2" t="s">
        <v>173</v>
      </c>
      <c r="D33" s="2" t="s">
        <v>174</v>
      </c>
      <c r="E33" s="2" t="s">
        <v>175</v>
      </c>
      <c r="F33" s="2" t="s">
        <v>176</v>
      </c>
      <c r="G33" s="19" t="s">
        <v>274</v>
      </c>
      <c r="H33" s="20" t="s">
        <v>246</v>
      </c>
      <c r="I33" s="2" t="s">
        <v>25</v>
      </c>
      <c r="J33" s="2" t="s">
        <v>32</v>
      </c>
      <c r="K33" s="19" t="s">
        <v>281</v>
      </c>
      <c r="L33" s="19" t="s">
        <v>288</v>
      </c>
    </row>
    <row r="34" spans="1:12" ht="72" customHeight="1" x14ac:dyDescent="0.2">
      <c r="A34" s="3" t="s">
        <v>177</v>
      </c>
      <c r="B34" s="3" t="s">
        <v>167</v>
      </c>
      <c r="C34" s="3" t="s">
        <v>178</v>
      </c>
      <c r="D34" s="3" t="s">
        <v>179</v>
      </c>
      <c r="E34" s="3" t="s">
        <v>180</v>
      </c>
      <c r="F34" s="3" t="s">
        <v>181</v>
      </c>
      <c r="G34" s="20" t="s">
        <v>275</v>
      </c>
      <c r="H34" s="20" t="s">
        <v>246</v>
      </c>
      <c r="I34" s="3" t="s">
        <v>25</v>
      </c>
      <c r="J34" s="3" t="s">
        <v>26</v>
      </c>
      <c r="K34" s="19" t="s">
        <v>281</v>
      </c>
      <c r="L34" s="20" t="s">
        <v>287</v>
      </c>
    </row>
    <row r="35" spans="1:12" ht="72" customHeight="1" x14ac:dyDescent="0.2">
      <c r="A35" s="2" t="s">
        <v>182</v>
      </c>
      <c r="B35" s="2" t="s">
        <v>183</v>
      </c>
      <c r="C35" s="2" t="s">
        <v>184</v>
      </c>
      <c r="D35" s="2" t="s">
        <v>185</v>
      </c>
      <c r="E35" s="2" t="s">
        <v>186</v>
      </c>
      <c r="F35" s="2" t="s">
        <v>187</v>
      </c>
      <c r="G35" s="19" t="s">
        <v>276</v>
      </c>
      <c r="H35" s="20" t="s">
        <v>246</v>
      </c>
      <c r="I35" s="2" t="s">
        <v>25</v>
      </c>
      <c r="J35" s="2" t="s">
        <v>26</v>
      </c>
      <c r="K35" s="19" t="s">
        <v>281</v>
      </c>
      <c r="L35" s="19" t="s">
        <v>286</v>
      </c>
    </row>
    <row r="36" spans="1:12" ht="72" customHeight="1" x14ac:dyDescent="0.2">
      <c r="A36" s="3" t="s">
        <v>188</v>
      </c>
      <c r="B36" s="3" t="s">
        <v>189</v>
      </c>
      <c r="C36" s="3" t="s">
        <v>190</v>
      </c>
      <c r="D36" s="3" t="s">
        <v>191</v>
      </c>
      <c r="E36" s="3" t="s">
        <v>192</v>
      </c>
      <c r="F36" s="3" t="s">
        <v>193</v>
      </c>
      <c r="G36" s="20" t="s">
        <v>277</v>
      </c>
      <c r="H36" s="20" t="s">
        <v>246</v>
      </c>
      <c r="I36" s="3" t="s">
        <v>133</v>
      </c>
      <c r="J36" s="3" t="s">
        <v>54</v>
      </c>
      <c r="K36" s="19" t="s">
        <v>281</v>
      </c>
      <c r="L36" s="20" t="s">
        <v>285</v>
      </c>
    </row>
    <row r="37" spans="1:12" ht="72" customHeight="1" x14ac:dyDescent="0.2">
      <c r="A37" s="2" t="s">
        <v>194</v>
      </c>
      <c r="B37" s="2" t="s">
        <v>189</v>
      </c>
      <c r="C37" s="2" t="s">
        <v>195</v>
      </c>
      <c r="D37" s="2" t="s">
        <v>196</v>
      </c>
      <c r="E37" s="2" t="s">
        <v>197</v>
      </c>
      <c r="F37" s="2" t="s">
        <v>198</v>
      </c>
      <c r="G37" s="19" t="s">
        <v>278</v>
      </c>
      <c r="H37" s="20" t="s">
        <v>246</v>
      </c>
      <c r="I37" s="2" t="s">
        <v>53</v>
      </c>
      <c r="J37" s="2" t="s">
        <v>54</v>
      </c>
      <c r="K37" s="19" t="s">
        <v>281</v>
      </c>
      <c r="L37" s="19" t="s">
        <v>284</v>
      </c>
    </row>
    <row r="38" spans="1:12" ht="72" customHeight="1" x14ac:dyDescent="0.2">
      <c r="A38" s="3" t="s">
        <v>199</v>
      </c>
      <c r="B38" s="3" t="s">
        <v>200</v>
      </c>
      <c r="C38" s="3" t="s">
        <v>201</v>
      </c>
      <c r="D38" s="3" t="s">
        <v>202</v>
      </c>
      <c r="E38" s="3" t="s">
        <v>203</v>
      </c>
      <c r="F38" s="3" t="s">
        <v>204</v>
      </c>
      <c r="G38" s="20" t="s">
        <v>279</v>
      </c>
      <c r="H38" s="20" t="s">
        <v>246</v>
      </c>
      <c r="I38" s="3" t="s">
        <v>53</v>
      </c>
      <c r="J38" s="3" t="s">
        <v>32</v>
      </c>
      <c r="K38" s="19" t="s">
        <v>281</v>
      </c>
      <c r="L38" s="20" t="s">
        <v>283</v>
      </c>
    </row>
    <row r="39" spans="1:12" ht="72" customHeight="1" x14ac:dyDescent="0.2">
      <c r="A39" s="2" t="s">
        <v>205</v>
      </c>
      <c r="B39" s="2" t="s">
        <v>200</v>
      </c>
      <c r="C39" s="2" t="s">
        <v>206</v>
      </c>
      <c r="D39" s="2" t="s">
        <v>207</v>
      </c>
      <c r="E39" s="2" t="s">
        <v>208</v>
      </c>
      <c r="F39" s="2" t="s">
        <v>209</v>
      </c>
      <c r="G39" s="19" t="s">
        <v>280</v>
      </c>
      <c r="H39" s="20" t="s">
        <v>246</v>
      </c>
      <c r="I39" s="2" t="s">
        <v>133</v>
      </c>
      <c r="J39" s="2" t="s">
        <v>54</v>
      </c>
      <c r="K39" s="19" t="s">
        <v>281</v>
      </c>
      <c r="L39" s="19" t="s">
        <v>282</v>
      </c>
    </row>
  </sheetData>
  <mergeCells count="7">
    <mergeCell ref="E3:H3"/>
    <mergeCell ref="I3:L3"/>
    <mergeCell ref="A3:D3"/>
    <mergeCell ref="A1:L1"/>
    <mergeCell ref="A2:D2"/>
    <mergeCell ref="I2:L2"/>
    <mergeCell ref="E2:H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7"/>
  <sheetViews>
    <sheetView zoomScale="125" workbookViewId="0">
      <pane ySplit="2" topLeftCell="A3" activePane="bottomLeft" state="frozen"/>
      <selection pane="bottomLeft" activeCell="C4" sqref="C4"/>
    </sheetView>
  </sheetViews>
  <sheetFormatPr baseColWidth="10" defaultColWidth="8.83203125" defaultRowHeight="15" x14ac:dyDescent="0.2"/>
  <cols>
    <col min="1" max="1" width="8" customWidth="1"/>
    <col min="2" max="2" width="13" customWidth="1"/>
    <col min="3" max="3" width="16" customWidth="1"/>
    <col min="4" max="4" width="32" customWidth="1"/>
    <col min="5" max="5" width="44" customWidth="1"/>
    <col min="6" max="7" width="32" customWidth="1"/>
    <col min="8" max="8" width="12" customWidth="1"/>
    <col min="9" max="9" width="10" customWidth="1"/>
    <col min="10" max="10" width="12" customWidth="1"/>
    <col min="11" max="11" width="22" customWidth="1"/>
    <col min="12" max="13" width="14" customWidth="1"/>
    <col min="14" max="14" width="20" customWidth="1"/>
    <col min="15" max="15" width="18.5" customWidth="1"/>
    <col min="16" max="16" width="20" customWidth="1"/>
  </cols>
  <sheetData>
    <row r="1" spans="1:16" ht="36" customHeight="1" x14ac:dyDescent="0.2">
      <c r="A1" s="17" t="s">
        <v>210</v>
      </c>
      <c r="B1" s="14"/>
      <c r="C1" s="14"/>
      <c r="D1" s="14"/>
      <c r="E1" s="14"/>
      <c r="F1" s="14"/>
      <c r="G1" s="14"/>
      <c r="H1" s="14"/>
      <c r="I1" s="14"/>
      <c r="J1" s="14"/>
      <c r="K1" s="14"/>
      <c r="L1" s="14"/>
      <c r="M1" s="14"/>
      <c r="N1" s="14"/>
      <c r="O1" s="14"/>
      <c r="P1" s="14"/>
    </row>
    <row r="2" spans="1:16" ht="26" customHeight="1" x14ac:dyDescent="0.2">
      <c r="A2" s="4" t="s">
        <v>211</v>
      </c>
      <c r="B2" s="4" t="s">
        <v>212</v>
      </c>
      <c r="C2" s="4" t="s">
        <v>8</v>
      </c>
      <c r="D2" s="4" t="s">
        <v>213</v>
      </c>
      <c r="E2" s="4" t="s">
        <v>214</v>
      </c>
      <c r="F2" s="4" t="s">
        <v>12</v>
      </c>
      <c r="G2" s="4" t="s">
        <v>13</v>
      </c>
      <c r="H2" s="4" t="s">
        <v>16</v>
      </c>
      <c r="I2" s="4" t="s">
        <v>15</v>
      </c>
      <c r="J2" s="4" t="s">
        <v>14</v>
      </c>
      <c r="K2" s="4" t="s">
        <v>215</v>
      </c>
      <c r="L2" s="4" t="s">
        <v>216</v>
      </c>
      <c r="M2" s="4" t="s">
        <v>17</v>
      </c>
      <c r="N2" s="4" t="s">
        <v>217</v>
      </c>
      <c r="O2" s="4" t="s">
        <v>18</v>
      </c>
      <c r="P2" s="22"/>
    </row>
    <row r="3" spans="1:16" ht="72" customHeight="1" x14ac:dyDescent="0.2">
      <c r="A3" s="5" t="s">
        <v>218</v>
      </c>
      <c r="B3" s="21">
        <v>46115</v>
      </c>
      <c r="C3" s="22" t="s">
        <v>189</v>
      </c>
      <c r="D3" s="22" t="s">
        <v>317</v>
      </c>
      <c r="E3" s="22" t="s">
        <v>318</v>
      </c>
      <c r="F3" s="22" t="s">
        <v>319</v>
      </c>
      <c r="G3" s="22" t="s">
        <v>320</v>
      </c>
      <c r="H3" s="22" t="s">
        <v>54</v>
      </c>
      <c r="I3" s="22" t="s">
        <v>133</v>
      </c>
      <c r="J3" s="22" t="s">
        <v>321</v>
      </c>
      <c r="K3" s="22" t="s">
        <v>322</v>
      </c>
      <c r="L3" s="5" t="s">
        <v>226</v>
      </c>
      <c r="M3" s="22" t="s">
        <v>325</v>
      </c>
      <c r="N3" s="5" t="s">
        <v>227</v>
      </c>
      <c r="O3" s="22" t="s">
        <v>326</v>
      </c>
      <c r="P3" s="5"/>
    </row>
    <row r="4" spans="1:16" ht="72" customHeight="1" x14ac:dyDescent="0.2">
      <c r="A4" s="6" t="s">
        <v>228</v>
      </c>
      <c r="B4" s="21">
        <v>46115</v>
      </c>
      <c r="C4" s="22" t="s">
        <v>200</v>
      </c>
      <c r="D4" s="23" t="s">
        <v>327</v>
      </c>
      <c r="E4" s="23" t="s">
        <v>328</v>
      </c>
      <c r="F4" s="23" t="s">
        <v>329</v>
      </c>
      <c r="G4" s="23" t="s">
        <v>330</v>
      </c>
      <c r="H4" s="23" t="s">
        <v>54</v>
      </c>
      <c r="I4" s="23" t="s">
        <v>53</v>
      </c>
      <c r="J4" s="23" t="s">
        <v>321</v>
      </c>
      <c r="K4" s="23" t="s">
        <v>322</v>
      </c>
      <c r="L4" s="6" t="s">
        <v>226</v>
      </c>
      <c r="M4" s="22" t="s">
        <v>325</v>
      </c>
      <c r="N4" s="6" t="s">
        <v>227</v>
      </c>
      <c r="O4" s="23" t="s">
        <v>331</v>
      </c>
    </row>
    <row r="5" spans="1:16" ht="72" customHeight="1" x14ac:dyDescent="0.2">
      <c r="A5" s="5" t="s">
        <v>229</v>
      </c>
      <c r="B5" s="21">
        <v>46115</v>
      </c>
      <c r="C5" s="22" t="s">
        <v>189</v>
      </c>
      <c r="D5" s="22" t="s">
        <v>332</v>
      </c>
      <c r="E5" s="22" t="s">
        <v>333</v>
      </c>
      <c r="F5" s="22" t="s">
        <v>334</v>
      </c>
      <c r="G5" s="22" t="s">
        <v>335</v>
      </c>
      <c r="H5" s="22" t="s">
        <v>336</v>
      </c>
      <c r="I5" s="22" t="s">
        <v>337</v>
      </c>
      <c r="J5" s="22" t="s">
        <v>321</v>
      </c>
      <c r="K5" s="23" t="s">
        <v>322</v>
      </c>
      <c r="L5" s="5" t="s">
        <v>226</v>
      </c>
      <c r="M5" s="22" t="s">
        <v>325</v>
      </c>
      <c r="N5" s="5" t="s">
        <v>227</v>
      </c>
      <c r="O5" s="22" t="s">
        <v>338</v>
      </c>
    </row>
    <row r="6" spans="1:16" ht="72" customHeight="1" x14ac:dyDescent="0.2">
      <c r="A6" s="6" t="s">
        <v>230</v>
      </c>
      <c r="B6" s="24" t="s">
        <v>212</v>
      </c>
      <c r="C6" s="22"/>
      <c r="D6" s="6" t="s">
        <v>219</v>
      </c>
      <c r="E6" s="6" t="s">
        <v>220</v>
      </c>
      <c r="F6" s="6" t="s">
        <v>221</v>
      </c>
      <c r="G6" s="6" t="s">
        <v>222</v>
      </c>
      <c r="H6" s="6" t="s">
        <v>223</v>
      </c>
      <c r="I6" s="6" t="s">
        <v>224</v>
      </c>
      <c r="J6" s="6" t="s">
        <v>225</v>
      </c>
      <c r="K6" s="23" t="s">
        <v>323</v>
      </c>
      <c r="L6" s="6" t="s">
        <v>226</v>
      </c>
      <c r="M6" s="22" t="s">
        <v>325</v>
      </c>
      <c r="N6" s="6" t="s">
        <v>227</v>
      </c>
      <c r="O6" s="6"/>
    </row>
    <row r="7" spans="1:16" ht="72" customHeight="1" x14ac:dyDescent="0.2">
      <c r="A7" s="5" t="s">
        <v>231</v>
      </c>
      <c r="B7" s="24" t="s">
        <v>212</v>
      </c>
      <c r="C7" s="22"/>
      <c r="D7" s="5" t="s">
        <v>219</v>
      </c>
      <c r="E7" s="5" t="s">
        <v>220</v>
      </c>
      <c r="F7" s="5" t="s">
        <v>221</v>
      </c>
      <c r="G7" s="5" t="s">
        <v>222</v>
      </c>
      <c r="H7" s="5" t="s">
        <v>223</v>
      </c>
      <c r="I7" s="5" t="s">
        <v>224</v>
      </c>
      <c r="J7" s="5" t="s">
        <v>225</v>
      </c>
      <c r="K7" s="23" t="s">
        <v>324</v>
      </c>
      <c r="L7" s="5" t="s">
        <v>226</v>
      </c>
      <c r="M7" s="22" t="s">
        <v>325</v>
      </c>
      <c r="N7" s="5" t="s">
        <v>227</v>
      </c>
      <c r="O7" s="5"/>
    </row>
  </sheetData>
  <mergeCells count="1">
    <mergeCell ref="A1:P1"/>
  </mergeCells>
  <phoneticPr fontId="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workbookViewId="0">
      <selection activeCell="B13" sqref="B13"/>
    </sheetView>
  </sheetViews>
  <sheetFormatPr baseColWidth="10" defaultColWidth="8.83203125" defaultRowHeight="15" x14ac:dyDescent="0.2"/>
  <cols>
    <col min="1" max="1" width="28" customWidth="1"/>
    <col min="2" max="2" width="18" customWidth="1"/>
  </cols>
  <sheetData>
    <row r="1" spans="1:6" ht="34" customHeight="1" x14ac:dyDescent="0.2">
      <c r="A1" s="15" t="s">
        <v>232</v>
      </c>
      <c r="B1" s="14"/>
      <c r="C1" s="14"/>
      <c r="D1" s="14"/>
      <c r="E1" s="14"/>
      <c r="F1" s="14"/>
    </row>
    <row r="2" spans="1:6" ht="22" customHeight="1" x14ac:dyDescent="0.2">
      <c r="A2" s="7"/>
      <c r="B2" s="7"/>
    </row>
    <row r="3" spans="1:6" ht="22" customHeight="1" x14ac:dyDescent="0.2">
      <c r="A3" s="18" t="s">
        <v>233</v>
      </c>
      <c r="B3" s="8">
        <v>35</v>
      </c>
    </row>
    <row r="4" spans="1:6" ht="22" customHeight="1" x14ac:dyDescent="0.2">
      <c r="A4" s="9" t="s">
        <v>234</v>
      </c>
      <c r="B4" s="10">
        <v>35</v>
      </c>
    </row>
    <row r="5" spans="1:6" ht="22" customHeight="1" x14ac:dyDescent="0.2">
      <c r="A5" s="9" t="s">
        <v>235</v>
      </c>
      <c r="B5" s="10">
        <f>COUNTIF('Test Cases'!H5:H39,"Fail")</f>
        <v>0</v>
      </c>
    </row>
    <row r="6" spans="1:6" ht="22" customHeight="1" x14ac:dyDescent="0.2">
      <c r="A6" s="9" t="s">
        <v>236</v>
      </c>
      <c r="B6" s="10">
        <f>COUNTIF('Test Cases'!H5:H39,"Blocked")</f>
        <v>0</v>
      </c>
    </row>
    <row r="7" spans="1:6" ht="22" customHeight="1" x14ac:dyDescent="0.2">
      <c r="A7" s="9" t="s">
        <v>237</v>
      </c>
      <c r="B7" s="10">
        <f>COUNTIF('Test Cases'!H5:H39,"Skip")</f>
        <v>0</v>
      </c>
    </row>
    <row r="8" spans="1:6" ht="22" customHeight="1" x14ac:dyDescent="0.2">
      <c r="A8" s="9" t="s">
        <v>238</v>
      </c>
      <c r="B8" s="10">
        <f>COUNTIF('Test Cases'!H5:H39,"(Pass / Fail / Blocked / Skip)")</f>
        <v>0</v>
      </c>
    </row>
    <row r="9" spans="1:6" ht="22" customHeight="1" x14ac:dyDescent="0.2">
      <c r="A9" s="7"/>
      <c r="B9" s="7"/>
    </row>
    <row r="10" spans="1:6" ht="22" customHeight="1" x14ac:dyDescent="0.2">
      <c r="A10" s="11" t="s">
        <v>239</v>
      </c>
      <c r="B10" s="11">
        <v>3</v>
      </c>
    </row>
    <row r="11" spans="1:6" ht="22" customHeight="1" x14ac:dyDescent="0.2">
      <c r="A11" s="9" t="s">
        <v>240</v>
      </c>
      <c r="B11" s="10">
        <f>COUNTIF('Bug Report'!H3:H100,"Critical")</f>
        <v>0</v>
      </c>
    </row>
    <row r="12" spans="1:6" ht="22" customHeight="1" x14ac:dyDescent="0.2">
      <c r="A12" s="9" t="s">
        <v>241</v>
      </c>
      <c r="B12" s="10">
        <f>COUNTIF('Bug Report'!H3:H100,"Major")</f>
        <v>0</v>
      </c>
    </row>
    <row r="13" spans="1:6" ht="22" customHeight="1" x14ac:dyDescent="0.2">
      <c r="A13" s="9" t="s">
        <v>242</v>
      </c>
      <c r="B13" s="10">
        <f>COUNTIF('Bug Report'!H3:H100,"Minor")</f>
        <v>2</v>
      </c>
    </row>
    <row r="14" spans="1:6" ht="22" customHeight="1" x14ac:dyDescent="0.2">
      <c r="A14" s="9" t="s">
        <v>243</v>
      </c>
      <c r="B14" s="10">
        <f>COUNTIF('Bug Report'!H3:H100,"Trivial")</f>
        <v>1</v>
      </c>
    </row>
    <row r="15" spans="1:6" ht="22" customHeight="1" x14ac:dyDescent="0.2">
      <c r="A15" s="7"/>
      <c r="B15" s="7"/>
    </row>
    <row r="16" spans="1:6" ht="22" customHeight="1" x14ac:dyDescent="0.2">
      <c r="A16" s="12" t="s">
        <v>244</v>
      </c>
      <c r="B16" s="25">
        <v>1</v>
      </c>
    </row>
  </sheetData>
  <mergeCells count="2">
    <mergeCell ref="A3"/>
    <mergeCell ref="A1:F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Bug Report</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Mohammed Shafiq</cp:lastModifiedBy>
  <dcterms:created xsi:type="dcterms:W3CDTF">2026-04-03T05:38:47Z</dcterms:created>
  <dcterms:modified xsi:type="dcterms:W3CDTF">2026-04-03T10:42:38Z</dcterms:modified>
</cp:coreProperties>
</file>